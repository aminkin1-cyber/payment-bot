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#,##0;\(#,##0\);\-"/>
    <numFmt numFmtId="166" formatCode="0.00000"/>
    <numFmt numFmtId="167" formatCode="0.0%"/>
    <numFmt numFmtId="168" formatCode="0.000000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3864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1F7A1F"/>
      <sz val="9"/>
    </font>
    <font>
      <name val="Arial"/>
      <charset val="1"/>
      <family val="0"/>
      <color rgb="FF0000CC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color rgb="FF505050"/>
      <sz val="8"/>
    </font>
    <font>
      <name val="Arial"/>
      <charset val="1"/>
      <family val="0"/>
      <sz val="9"/>
    </font>
    <font>
      <name val="Arial"/>
      <charset val="1"/>
      <family val="0"/>
      <color rgb="FF7B3F00"/>
      <sz val="9"/>
    </font>
    <font>
      <name val="Arial"/>
      <charset val="1"/>
      <family val="0"/>
      <color rgb="FF1F3864"/>
      <sz val="9"/>
    </font>
    <font>
      <name val="Arial"/>
      <charset val="1"/>
      <family val="0"/>
      <b val="1"/>
      <color rgb="FF1F7A1F"/>
      <sz val="9"/>
    </font>
    <font>
      <name val="Arial"/>
      <charset val="1"/>
      <family val="0"/>
      <color rgb="FF1F7A1F"/>
      <sz val="8"/>
    </font>
    <font>
      <name val="Arial"/>
      <charset val="1"/>
      <family val="0"/>
      <b val="1"/>
      <color rgb="FF7B3F00"/>
      <sz val="9"/>
    </font>
    <font>
      <name val="Arial"/>
      <charset val="1"/>
      <family val="0"/>
      <color rgb="FF7B3F00"/>
      <sz val="8"/>
    </font>
    <font>
      <name val="Arial"/>
      <charset val="1"/>
      <family val="0"/>
      <color rgb="FF000000"/>
      <sz val="8"/>
    </font>
    <font>
      <name val="Arial"/>
      <charset val="1"/>
      <family val="0"/>
      <i val="1"/>
      <color rgb="FFD6E4F0"/>
      <sz val="8"/>
    </font>
    <font>
      <name val="Arial"/>
      <charset val="1"/>
      <family val="0"/>
      <b val="1"/>
      <color rgb="FF0000CC"/>
      <sz val="9"/>
    </font>
    <font>
      <name val="Arial"/>
      <charset val="1"/>
      <family val="0"/>
      <i val="1"/>
      <color rgb="FF606060"/>
      <sz val="8"/>
    </font>
    <font>
      <name val="Arial"/>
      <charset val="1"/>
      <family val="0"/>
      <color rgb="FF606060"/>
      <sz val="8"/>
    </font>
    <font>
      <name val="Arial"/>
      <charset val="1"/>
      <family val="0"/>
      <color rgb="FF1F3864"/>
      <sz val="8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000000"/>
      <sz val="8"/>
    </font>
    <font>
      <name val="Arial"/>
      <color rgb="000000CC"/>
      <sz val="9"/>
    </font>
    <font>
      <name val="Arial"/>
      <b val="1"/>
      <color rgb="001F3864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164" fontId="8" fillId="9" borderId="1" applyAlignment="1" pivotButton="0" quotePrefix="0" xfId="0">
      <alignment horizontal="right" vertical="center"/>
    </xf>
    <xf numFmtId="164" fontId="8" fillId="3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4" fontId="8" fillId="8" borderId="1" applyAlignment="1" pivotButton="0" quotePrefix="0" xfId="0">
      <alignment horizontal="right" vertical="center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right" vertical="center"/>
    </xf>
    <xf numFmtId="166" fontId="12" fillId="4" borderId="4" applyAlignment="1" pivotButton="0" quotePrefix="0" xfId="0">
      <alignment horizontal="right" vertical="center"/>
    </xf>
    <xf numFmtId="4" fontId="13" fillId="4" borderId="4" applyAlignment="1" pivotButton="0" quotePrefix="0" xfId="0">
      <alignment horizontal="right" vertical="center"/>
    </xf>
    <xf numFmtId="167" fontId="12" fillId="4" borderId="4" applyAlignment="1" pivotButton="0" quotePrefix="0" xfId="0">
      <alignment horizontal="right" vertical="center"/>
    </xf>
    <xf numFmtId="4" fontId="14" fillId="4" borderId="4" applyAlignment="1" pivotButton="0" quotePrefix="0" xfId="0">
      <alignment horizontal="right" vertical="center"/>
    </xf>
    <xf numFmtId="0" fontId="15" fillId="6" borderId="4" applyAlignment="1" pivotButton="0" quotePrefix="0" xfId="0">
      <alignment horizontal="left" vertical="center"/>
    </xf>
    <xf numFmtId="0" fontId="16" fillId="6" borderId="0" applyAlignment="1" pivotButton="0" quotePrefix="0" xfId="0">
      <alignment horizontal="general" vertical="top" wrapText="1"/>
    </xf>
    <xf numFmtId="0" fontId="13" fillId="10" borderId="4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164" fontId="13" fillId="10" borderId="4" applyAlignment="1" pivotButton="0" quotePrefix="0" xfId="0">
      <alignment horizontal="right" vertical="center"/>
    </xf>
    <xf numFmtId="0" fontId="17" fillId="9" borderId="4" applyAlignment="1" pivotButton="0" quotePrefix="0" xfId="0">
      <alignment horizontal="left" vertical="center"/>
    </xf>
    <xf numFmtId="0" fontId="17" fillId="9" borderId="4" applyAlignment="1" pivotButton="0" quotePrefix="0" xfId="0">
      <alignment horizontal="center" vertical="center"/>
    </xf>
    <xf numFmtId="164" fontId="17" fillId="9" borderId="4" applyAlignment="1" pivotButton="0" quotePrefix="0" xfId="0">
      <alignment horizontal="right" vertical="center"/>
    </xf>
    <xf numFmtId="0" fontId="18" fillId="3" borderId="4" applyAlignment="1" pivotButton="0" quotePrefix="0" xfId="0">
      <alignment horizontal="left" vertical="center"/>
    </xf>
    <xf numFmtId="0" fontId="18" fillId="3" borderId="4" applyAlignment="1" pivotButton="0" quotePrefix="0" xfId="0">
      <alignment horizontal="center" vertical="center"/>
    </xf>
    <xf numFmtId="164" fontId="18" fillId="3" borderId="4" applyAlignment="1" pivotButton="0" quotePrefix="0" xfId="0">
      <alignment horizontal="right" vertical="center"/>
    </xf>
    <xf numFmtId="0" fontId="13" fillId="3" borderId="4" applyAlignment="1" pivotButton="0" quotePrefix="0" xfId="0">
      <alignment horizontal="left" vertical="center"/>
    </xf>
    <xf numFmtId="0" fontId="13" fillId="3" borderId="4" applyAlignment="1" pivotButton="0" quotePrefix="0" xfId="0">
      <alignment horizontal="left" vertical="center" wrapText="1"/>
    </xf>
    <xf numFmtId="164" fontId="13" fillId="3" borderId="4" applyAlignment="1" pivotButton="0" quotePrefix="0" xfId="0">
      <alignment horizontal="left" vertical="center"/>
    </xf>
    <xf numFmtId="4" fontId="16" fillId="4" borderId="4" applyAlignment="1" pivotButton="0" quotePrefix="0" xfId="0">
      <alignment horizontal="right" vertical="center"/>
    </xf>
    <xf numFmtId="0" fontId="16" fillId="3" borderId="0" applyAlignment="1" pivotButton="0" quotePrefix="0" xfId="0">
      <alignment horizontal="general" vertical="top" wrapText="1"/>
    </xf>
    <xf numFmtId="0" fontId="13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center" vertical="center"/>
    </xf>
    <xf numFmtId="164" fontId="13" fillId="10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4" fontId="13" fillId="4" borderId="0" applyAlignment="1" pivotButton="0" quotePrefix="0" xfId="0">
      <alignment horizontal="right" vertical="center"/>
    </xf>
    <xf numFmtId="167" fontId="13" fillId="4" borderId="0" applyAlignment="1" pivotButton="0" quotePrefix="0" xfId="0">
      <alignment horizontal="right" vertical="center"/>
    </xf>
    <xf numFmtId="4" fontId="10" fillId="4" borderId="0" applyAlignment="1" pivotButton="0" quotePrefix="0" xfId="0">
      <alignment horizontal="right" vertical="center"/>
    </xf>
    <xf numFmtId="0" fontId="15" fillId="6" borderId="0" applyAlignment="1" pivotButton="0" quotePrefix="0" xfId="0">
      <alignment horizontal="left" vertical="center"/>
    </xf>
    <xf numFmtId="4" fontId="16" fillId="7" borderId="4" applyAlignment="1" pivotButton="0" quotePrefix="0" xfId="0">
      <alignment horizontal="right" vertical="center"/>
    </xf>
    <xf numFmtId="0" fontId="19" fillId="7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164" fontId="17" fillId="4" borderId="4" applyAlignment="1" pivotButton="0" quotePrefix="0" xfId="0">
      <alignment horizontal="right" vertical="center"/>
    </xf>
    <xf numFmtId="0" fontId="21" fillId="4" borderId="4" applyAlignment="1" pivotButton="0" quotePrefix="0" xfId="0">
      <alignment horizontal="center" vertical="center"/>
    </xf>
    <xf numFmtId="0" fontId="22" fillId="4" borderId="4" applyAlignment="1" pivotButton="0" quotePrefix="0" xfId="0">
      <alignment horizontal="left" vertical="center"/>
    </xf>
    <xf numFmtId="0" fontId="10" fillId="10" borderId="4" applyAlignment="1" pivotButton="0" quotePrefix="0" xfId="0">
      <alignment horizontal="center" vertical="center"/>
    </xf>
    <xf numFmtId="0" fontId="23" fillId="10" borderId="4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0" fillId="10" borderId="4" applyAlignment="1" pivotButton="0" quotePrefix="0" xfId="0">
      <alignment horizontal="general" vertical="bottom"/>
    </xf>
    <xf numFmtId="0" fontId="7" fillId="5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 wrapText="1"/>
    </xf>
    <xf numFmtId="0" fontId="18" fillId="11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 wrapText="1"/>
    </xf>
    <xf numFmtId="0" fontId="18" fillId="4" borderId="4" applyAlignment="1" pivotButton="0" quotePrefix="0" xfId="0">
      <alignment horizontal="left" vertical="center"/>
    </xf>
    <xf numFmtId="0" fontId="18" fillId="4" borderId="4" applyAlignment="1" pivotButton="0" quotePrefix="0" xfId="0">
      <alignment horizontal="left" vertical="center" wrapText="1"/>
    </xf>
    <xf numFmtId="0" fontId="18" fillId="7" borderId="4" applyAlignment="1" pivotButton="0" quotePrefix="0" xfId="0">
      <alignment horizontal="left" vertical="center"/>
    </xf>
    <xf numFmtId="0" fontId="18" fillId="7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left" vertical="center"/>
    </xf>
    <xf numFmtId="0" fontId="18" fillId="9" borderId="4" applyAlignment="1" pivotButton="0" quotePrefix="0" xfId="0">
      <alignment horizontal="left" vertical="center" wrapText="1"/>
    </xf>
    <xf numFmtId="0" fontId="18" fillId="8" borderId="4" applyAlignment="1" pivotButton="0" quotePrefix="0" xfId="0">
      <alignment horizontal="left" vertical="center"/>
    </xf>
    <xf numFmtId="0" fontId="18" fillId="8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left" vertical="center" wrapText="1"/>
    </xf>
    <xf numFmtId="0" fontId="18" fillId="6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 wrapText="1"/>
    </xf>
    <xf numFmtId="0" fontId="14" fillId="8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/>
    </xf>
    <xf numFmtId="0" fontId="24" fillId="2" borderId="4" applyAlignment="1" pivotButton="0" quotePrefix="0" xfId="0">
      <alignment horizontal="center" vertical="center"/>
    </xf>
    <xf numFmtId="164" fontId="25" fillId="4" borderId="4" applyAlignment="1" pivotButton="0" quotePrefix="0" xfId="0">
      <alignment horizontal="right" vertical="center"/>
    </xf>
    <xf numFmtId="0" fontId="26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3" fillId="2" borderId="4" applyAlignment="1" pivotButton="0" quotePrefix="0" xfId="0">
      <alignment horizontal="left" vertical="center"/>
    </xf>
    <xf numFmtId="0" fontId="14" fillId="11" borderId="4" applyAlignment="1" pivotButton="0" quotePrefix="0" xfId="0">
      <alignment horizontal="center" vertical="center"/>
    </xf>
    <xf numFmtId="166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166" fontId="12" fillId="6" borderId="4" applyAlignment="1" pivotButton="0" quotePrefix="0" xfId="0">
      <alignment horizontal="right" vertical="center"/>
    </xf>
    <xf numFmtId="0" fontId="16" fillId="0" borderId="4" applyAlignment="1" pivotButton="0" quotePrefix="0" xfId="0">
      <alignment horizontal="general" vertical="bottom"/>
    </xf>
    <xf numFmtId="168" fontId="16" fillId="0" borderId="4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right" vertical="bottom"/>
    </xf>
    <xf numFmtId="0" fontId="14" fillId="11" borderId="4" applyAlignment="1" pivotButton="0" quotePrefix="0" xfId="0">
      <alignment horizontal="left" vertical="center"/>
    </xf>
    <xf numFmtId="167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28" fillId="4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0" fillId="0" borderId="2" pivotButton="0" quotePrefix="0" xfId="0"/>
    <xf numFmtId="164" fontId="8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right" vertical="center"/>
    </xf>
    <xf numFmtId="164" fontId="8" fillId="9" borderId="1" applyAlignment="1" pivotButton="0" quotePrefix="0" xfId="0">
      <alignment horizontal="right" vertical="center"/>
    </xf>
    <xf numFmtId="164" fontId="8" fillId="3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4" fontId="8" fillId="8" borderId="1" applyAlignment="1" pivotButton="0" quotePrefix="0" xfId="0">
      <alignment horizontal="right" vertical="center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right" vertical="center"/>
    </xf>
    <xf numFmtId="166" fontId="12" fillId="4" borderId="4" applyAlignment="1" pivotButton="0" quotePrefix="0" xfId="0">
      <alignment horizontal="right" vertical="center"/>
    </xf>
    <xf numFmtId="4" fontId="13" fillId="4" borderId="4" applyAlignment="1" pivotButton="0" quotePrefix="0" xfId="0">
      <alignment horizontal="right" vertical="center"/>
    </xf>
    <xf numFmtId="167" fontId="12" fillId="4" borderId="4" applyAlignment="1" pivotButton="0" quotePrefix="0" xfId="0">
      <alignment horizontal="right" vertical="center"/>
    </xf>
    <xf numFmtId="4" fontId="14" fillId="4" borderId="4" applyAlignment="1" pivotButton="0" quotePrefix="0" xfId="0">
      <alignment horizontal="right" vertical="center"/>
    </xf>
    <xf numFmtId="0" fontId="15" fillId="6" borderId="4" applyAlignment="1" pivotButton="0" quotePrefix="0" xfId="0">
      <alignment horizontal="left" vertical="center"/>
    </xf>
    <xf numFmtId="0" fontId="16" fillId="6" borderId="0" applyAlignment="1" pivotButton="0" quotePrefix="0" xfId="0">
      <alignment horizontal="general" vertical="top" wrapText="1"/>
    </xf>
    <xf numFmtId="0" fontId="13" fillId="10" borderId="4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164" fontId="13" fillId="10" borderId="4" applyAlignment="1" pivotButton="0" quotePrefix="0" xfId="0">
      <alignment horizontal="right" vertical="center"/>
    </xf>
    <xf numFmtId="0" fontId="17" fillId="9" borderId="4" applyAlignment="1" pivotButton="0" quotePrefix="0" xfId="0">
      <alignment horizontal="left" vertical="center"/>
    </xf>
    <xf numFmtId="0" fontId="17" fillId="9" borderId="4" applyAlignment="1" pivotButton="0" quotePrefix="0" xfId="0">
      <alignment horizontal="center" vertical="center"/>
    </xf>
    <xf numFmtId="164" fontId="17" fillId="9" borderId="4" applyAlignment="1" pivotButton="0" quotePrefix="0" xfId="0">
      <alignment horizontal="right" vertical="center"/>
    </xf>
    <xf numFmtId="0" fontId="18" fillId="3" borderId="4" applyAlignment="1" pivotButton="0" quotePrefix="0" xfId="0">
      <alignment horizontal="left" vertical="center"/>
    </xf>
    <xf numFmtId="0" fontId="18" fillId="3" borderId="4" applyAlignment="1" pivotButton="0" quotePrefix="0" xfId="0">
      <alignment horizontal="center" vertical="center"/>
    </xf>
    <xf numFmtId="164" fontId="18" fillId="3" borderId="4" applyAlignment="1" pivotButton="0" quotePrefix="0" xfId="0">
      <alignment horizontal="right" vertical="center"/>
    </xf>
    <xf numFmtId="0" fontId="13" fillId="3" borderId="4" applyAlignment="1" pivotButton="0" quotePrefix="0" xfId="0">
      <alignment horizontal="left" vertical="center"/>
    </xf>
    <xf numFmtId="0" fontId="13" fillId="3" borderId="4" applyAlignment="1" pivotButton="0" quotePrefix="0" xfId="0">
      <alignment horizontal="left" vertical="center" wrapText="1"/>
    </xf>
    <xf numFmtId="164" fontId="13" fillId="3" borderId="4" applyAlignment="1" pivotButton="0" quotePrefix="0" xfId="0">
      <alignment horizontal="left" vertical="center"/>
    </xf>
    <xf numFmtId="4" fontId="16" fillId="4" borderId="4" applyAlignment="1" pivotButton="0" quotePrefix="0" xfId="0">
      <alignment horizontal="right" vertical="center"/>
    </xf>
    <xf numFmtId="4" fontId="33" fillId="15" borderId="4" applyAlignment="1" pivotButton="0" quotePrefix="0" xfId="0">
      <alignment horizontal="right" vertical="center"/>
    </xf>
    <xf numFmtId="0" fontId="16" fillId="3" borderId="0" applyAlignment="1" pivotButton="0" quotePrefix="0" xfId="0">
      <alignment horizontal="general" vertical="top" wrapText="1"/>
    </xf>
    <xf numFmtId="0" fontId="30" fillId="13" borderId="6" applyAlignment="1" pivotButton="0" quotePrefix="0" xfId="0">
      <alignment horizontal="left" vertical="center"/>
    </xf>
    <xf numFmtId="0" fontId="30" fillId="13" borderId="6" applyAlignment="1" pivotButton="0" quotePrefix="0" xfId="0">
      <alignment horizontal="left" vertical="center" wrapText="1"/>
    </xf>
    <xf numFmtId="164" fontId="30" fillId="13" borderId="6" applyAlignment="1" pivotButton="0" quotePrefix="0" xfId="0">
      <alignment horizontal="left" vertical="center"/>
    </xf>
    <xf numFmtId="166" fontId="32" fillId="14" borderId="6" applyAlignment="1" pivotButton="0" quotePrefix="0" xfId="0">
      <alignment horizontal="left" vertical="center"/>
    </xf>
    <xf numFmtId="4" fontId="30" fillId="14" borderId="6" applyAlignment="1" pivotButton="0" quotePrefix="0" xfId="0">
      <alignment horizontal="left" vertical="center"/>
    </xf>
    <xf numFmtId="167" fontId="32" fillId="14" borderId="6" applyAlignment="1" pivotButton="0" quotePrefix="0" xfId="0">
      <alignment horizontal="left" vertical="center"/>
    </xf>
    <xf numFmtId="4" fontId="33" fillId="15" borderId="6" applyAlignment="1" pivotButton="0" quotePrefix="0" xfId="0">
      <alignment horizontal="right" vertical="center"/>
    </xf>
    <xf numFmtId="0" fontId="13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center" vertical="center"/>
    </xf>
    <xf numFmtId="164" fontId="13" fillId="10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4" fontId="13" fillId="4" borderId="0" applyAlignment="1" pivotButton="0" quotePrefix="0" xfId="0">
      <alignment horizontal="right" vertical="center"/>
    </xf>
    <xf numFmtId="167" fontId="13" fillId="4" borderId="0" applyAlignment="1" pivotButton="0" quotePrefix="0" xfId="0">
      <alignment horizontal="right" vertical="center"/>
    </xf>
    <xf numFmtId="4" fontId="10" fillId="4" borderId="0" applyAlignment="1" pivotButton="0" quotePrefix="0" xfId="0">
      <alignment horizontal="right" vertical="center"/>
    </xf>
    <xf numFmtId="0" fontId="15" fillId="6" borderId="0" applyAlignment="1" pivotButton="0" quotePrefix="0" xfId="0">
      <alignment horizontal="left" vertical="center"/>
    </xf>
    <xf numFmtId="4" fontId="16" fillId="7" borderId="4" applyAlignment="1" pivotButton="0" quotePrefix="0" xfId="0">
      <alignment horizontal="right" vertical="center"/>
    </xf>
    <xf numFmtId="0" fontId="19" fillId="7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164" fontId="17" fillId="4" borderId="4" applyAlignment="1" pivotButton="0" quotePrefix="0" xfId="0">
      <alignment horizontal="right" vertical="center"/>
    </xf>
    <xf numFmtId="0" fontId="29" fillId="12" borderId="6" applyAlignment="1" pivotButton="0" quotePrefix="0" xfId="0">
      <alignment horizontal="center" vertical="center"/>
    </xf>
    <xf numFmtId="0" fontId="30" fillId="12" borderId="6" applyAlignment="1" pivotButton="0" quotePrefix="0" xfId="0">
      <alignment horizontal="left" vertical="center"/>
    </xf>
    <xf numFmtId="0" fontId="31" fillId="12" borderId="6" applyAlignment="1" pivotButton="0" quotePrefix="0" xfId="0">
      <alignment horizontal="left" vertical="center"/>
    </xf>
    <xf numFmtId="0" fontId="21" fillId="4" borderId="4" applyAlignment="1" pivotButton="0" quotePrefix="0" xfId="0">
      <alignment horizontal="center" vertical="center"/>
    </xf>
    <xf numFmtId="0" fontId="22" fillId="4" borderId="4" applyAlignment="1" pivotButton="0" quotePrefix="0" xfId="0">
      <alignment horizontal="left" vertical="center"/>
    </xf>
    <xf numFmtId="0" fontId="10" fillId="10" borderId="4" applyAlignment="1" pivotButton="0" quotePrefix="0" xfId="0">
      <alignment horizontal="center" vertical="center"/>
    </xf>
    <xf numFmtId="0" fontId="23" fillId="10" borderId="4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0" fillId="10" borderId="4" applyAlignment="1" pivotButton="0" quotePrefix="0" xfId="0">
      <alignment horizontal="general" vertical="bottom"/>
    </xf>
    <xf numFmtId="0" fontId="7" fillId="5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 wrapText="1"/>
    </xf>
    <xf numFmtId="0" fontId="18" fillId="11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 wrapText="1"/>
    </xf>
    <xf numFmtId="0" fontId="18" fillId="4" borderId="4" applyAlignment="1" pivotButton="0" quotePrefix="0" xfId="0">
      <alignment horizontal="left" vertical="center"/>
    </xf>
    <xf numFmtId="0" fontId="18" fillId="4" borderId="4" applyAlignment="1" pivotButton="0" quotePrefix="0" xfId="0">
      <alignment horizontal="left" vertical="center" wrapText="1"/>
    </xf>
    <xf numFmtId="0" fontId="18" fillId="7" borderId="4" applyAlignment="1" pivotButton="0" quotePrefix="0" xfId="0">
      <alignment horizontal="left" vertical="center"/>
    </xf>
    <xf numFmtId="0" fontId="18" fillId="7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left" vertical="center"/>
    </xf>
    <xf numFmtId="0" fontId="18" fillId="9" borderId="4" applyAlignment="1" pivotButton="0" quotePrefix="0" xfId="0">
      <alignment horizontal="left" vertical="center" wrapText="1"/>
    </xf>
    <xf numFmtId="0" fontId="18" fillId="8" borderId="4" applyAlignment="1" pivotButton="0" quotePrefix="0" xfId="0">
      <alignment horizontal="left" vertical="center"/>
    </xf>
    <xf numFmtId="0" fontId="18" fillId="8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left" vertical="center" wrapText="1"/>
    </xf>
    <xf numFmtId="0" fontId="18" fillId="6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 wrapText="1"/>
    </xf>
    <xf numFmtId="0" fontId="14" fillId="8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/>
    </xf>
    <xf numFmtId="0" fontId="24" fillId="2" borderId="4" applyAlignment="1" pivotButton="0" quotePrefix="0" xfId="0">
      <alignment horizontal="center" vertical="center"/>
    </xf>
    <xf numFmtId="164" fontId="25" fillId="4" borderId="4" applyAlignment="1" pivotButton="0" quotePrefix="0" xfId="0">
      <alignment horizontal="right" vertical="center"/>
    </xf>
    <xf numFmtId="0" fontId="26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3" fillId="2" borderId="4" applyAlignment="1" pivotButton="0" quotePrefix="0" xfId="0">
      <alignment horizontal="left" vertical="center"/>
    </xf>
    <xf numFmtId="0" fontId="14" fillId="11" borderId="4" applyAlignment="1" pivotButton="0" quotePrefix="0" xfId="0">
      <alignment horizontal="center" vertical="center"/>
    </xf>
    <xf numFmtId="166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166" fontId="12" fillId="6" borderId="4" applyAlignment="1" pivotButton="0" quotePrefix="0" xfId="0">
      <alignment horizontal="right" vertical="center"/>
    </xf>
    <xf numFmtId="0" fontId="16" fillId="0" borderId="4" applyAlignment="1" pivotButton="0" quotePrefix="0" xfId="0">
      <alignment horizontal="general" vertical="bottom"/>
    </xf>
    <xf numFmtId="168" fontId="16" fillId="0" borderId="4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right" vertical="bottom"/>
    </xf>
    <xf numFmtId="0" fontId="14" fillId="11" borderId="4" applyAlignment="1" pivotButton="0" quotePrefix="0" xfId="0">
      <alignment horizontal="left" vertical="center"/>
    </xf>
    <xf numFmtId="167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 wrapText="1"/>
    </xf>
    <xf numFmtId="0" fontId="28" fillId="4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J11" activeCellId="0" sqref="J11"/>
    </sheetView>
  </sheetViews>
  <sheetFormatPr baseColWidth="8" defaultColWidth="8.71484375" defaultRowHeight="15" zeroHeight="0" outlineLevelRow="0"/>
  <cols>
    <col width="4" customWidth="1" style="107" min="1" max="1"/>
    <col width="32" customWidth="1" style="107" min="2" max="2"/>
    <col width="2" customWidth="1" style="107" min="3" max="4"/>
    <col width="18" customWidth="1" style="107" min="5" max="5"/>
    <col width="2" customWidth="1" style="107" min="6" max="6"/>
  </cols>
  <sheetData>
    <row r="1" ht="30" customHeight="1" s="108">
      <c r="A1" s="109" t="inlineStr">
        <is>
          <t>📊 DASHBOARD</t>
        </is>
      </c>
    </row>
    <row r="2" ht="15" customHeight="1" s="108">
      <c r="A2" s="110" t="n"/>
    </row>
    <row r="3" ht="7.5" customHeight="1" s="108"/>
    <row r="4" ht="21.75" customHeight="1" s="108">
      <c r="B4" s="111" t="inlineStr">
        <is>
          <t xml:space="preserve">  ⚡ AGENT BALANCE</t>
        </is>
      </c>
    </row>
    <row r="5" ht="24" customHeight="1" s="108">
      <c r="B5" s="112" t="inlineStr">
        <is>
          <t>Current Agent Balance (USD)</t>
        </is>
      </c>
      <c r="C5" s="113" t="n"/>
      <c r="D5" s="113" t="n"/>
      <c r="E5" s="114">
        <f>IFERROR(LOOKUP(2,1/(Transactions!$K$5:$K$300&lt;&gt;""),Transactions!$K$5:$K$300),Settings!$C$4)</f>
        <v/>
      </c>
      <c r="F5" s="113" t="n"/>
    </row>
    <row r="6" ht="24" customHeight="1" s="108">
      <c r="B6" s="115" t="inlineStr">
        <is>
          <t>Starting Balance</t>
        </is>
      </c>
      <c r="C6" s="113" t="n"/>
      <c r="D6" s="113" t="n"/>
      <c r="E6" s="116">
        <f>Settings!$C$4</f>
        <v/>
      </c>
      <c r="F6" s="113" t="n"/>
    </row>
    <row r="7" ht="6" customHeight="1" s="108"/>
    <row r="8" ht="21.75" customHeight="1" s="108">
      <c r="B8" s="111" t="inlineStr">
        <is>
          <t xml:space="preserve">  📋 INVOICES</t>
        </is>
      </c>
    </row>
    <row r="9" ht="24" customHeight="1" s="108">
      <c r="B9" s="115" t="inlineStr">
        <is>
          <t>Invoices Submitted — total count</t>
        </is>
      </c>
      <c r="C9" s="113" t="n"/>
      <c r="D9" s="113" t="n"/>
      <c r="E9" s="117">
        <f>COUNTA(Invoices!$A$5:$A$200)</f>
        <v/>
      </c>
      <c r="F9" s="113" t="n"/>
    </row>
    <row r="10" ht="24" customHeight="1" s="108">
      <c r="B10" s="115" t="inlineStr">
        <is>
          <t>✅ Paid — count</t>
        </is>
      </c>
      <c r="C10" s="113" t="n"/>
      <c r="D10" s="113" t="n"/>
      <c r="E10" s="118">
        <f>COUNTIF(Invoices!$G$5:$G$200,"✅ Paid")</f>
        <v/>
      </c>
      <c r="F10" s="113" t="n"/>
    </row>
    <row r="11" ht="24" customHeight="1" s="108">
      <c r="B11" s="115" t="inlineStr">
        <is>
          <t>✅ Paid — USD total (approx)</t>
        </is>
      </c>
      <c r="C11" s="113" t="n"/>
      <c r="D11" s="113" t="n"/>
      <c r="E11" s="119">
        <f>SUMIF(Invoices!$G$5:$G$200,"✅ Paid",Invoices!$F$5:$F$200)</f>
        <v/>
      </c>
      <c r="F11" s="113" t="n"/>
    </row>
    <row r="12" ht="24" customHeight="1" s="108">
      <c r="B12" s="115" t="inlineStr">
        <is>
          <t>⏳ Pending — count</t>
        </is>
      </c>
      <c r="C12" s="113" t="n"/>
      <c r="D12" s="113" t="n"/>
      <c r="E12" s="120">
        <f>COUNTIF(Invoices!$G$5:$G$200,"⏳ Pending")</f>
        <v/>
      </c>
      <c r="F12" s="113" t="n"/>
    </row>
    <row r="13" ht="24" customHeight="1" s="108">
      <c r="B13" s="115" t="inlineStr">
        <is>
          <t>⏳ Pending — USD total (known amounts)</t>
        </is>
      </c>
      <c r="C13" s="113" t="n"/>
      <c r="D13" s="113" t="n"/>
      <c r="E13" s="114">
        <f>SUMIF(Invoices!$G$5:$G$200,"⏳ Pending",Invoices!$F$5:$F$200)</f>
        <v/>
      </c>
      <c r="F13" s="113" t="n"/>
    </row>
    <row r="14" ht="24" customHeight="1" s="108">
      <c r="B14" s="115" t="inlineStr">
        <is>
          <t>❓ Clarify / ⚠ Check — count</t>
        </is>
      </c>
      <c r="C14" s="113" t="n"/>
      <c r="D14" s="113" t="n"/>
      <c r="E14" s="121">
        <f>COUNTIF(Invoices!$G$5:$G$200,"❓ Clarify")+COUNTIF(Invoices!$G$5:$G$200,"⚠ Partial/Check")</f>
        <v/>
      </c>
      <c r="F14" s="113" t="n"/>
    </row>
    <row r="15" ht="21.75" customHeight="1" s="108">
      <c r="B15" s="122" t="inlineStr">
        <is>
          <t>📊 Total Unpaid — all statuses (USD equiv, projected)</t>
        </is>
      </c>
      <c r="C15" s="123" t="n"/>
      <c r="D15" s="123" t="n"/>
      <c r="E15" s="124">
        <f>SUMPRODUCT(IF(Invoices!$G$5:$G$200&lt;&gt;"✅ Paid",IF(Invoices!$G$5:$G$200&lt;&gt;"",IF(ISNUMBER(Invoices!$F$5:$F$200),Invoices!$F$5:$F$200,0),0),0))</f>
        <v/>
      </c>
    </row>
    <row r="16" ht="21.75" customHeight="1" s="108">
      <c r="B16" s="107" t="n"/>
    </row>
    <row r="17" ht="24" customHeight="1" s="108">
      <c r="B17" s="111" t="inlineStr">
        <is>
          <t xml:space="preserve">  💸 TRANSACTIONS SUMMARY</t>
        </is>
      </c>
      <c r="E17" s="107" t="n"/>
    </row>
    <row r="18" ht="24" customHeight="1" s="108">
      <c r="B18" s="115" t="inlineStr">
        <is>
          <t>Total Deposits to Agent (Gross USD)</t>
        </is>
      </c>
      <c r="C18" s="113" t="n"/>
      <c r="D18" s="113" t="n"/>
      <c r="E18" s="119">
        <f>SUMIF(Transactions!$B$5:$B$300,"Deposit",Transactions!$H$5:$H$300)</f>
        <v/>
      </c>
      <c r="F18" s="113" t="n"/>
    </row>
    <row r="19" ht="24" customHeight="1" s="108">
      <c r="B19" s="115" t="inlineStr">
        <is>
          <t>Total Cash Received from Agent (Gross USD)</t>
        </is>
      </c>
      <c r="C19" s="113" t="n"/>
      <c r="D19" s="113" t="n"/>
      <c r="E19" s="125">
        <f>SUMIF(Transactions!$B$5:$B$300,"Cash Out",Transactions!$H$5:$H$300)</f>
        <v/>
      </c>
      <c r="F19" s="113" t="n"/>
    </row>
    <row r="20" ht="24" customHeight="1" s="108">
      <c r="B20" s="115" t="inlineStr">
        <is>
          <t>Total Payments Made (Gross USD)</t>
        </is>
      </c>
      <c r="C20" s="113" t="n"/>
      <c r="D20" s="113" t="n"/>
      <c r="E20" s="126">
        <f>SUMIF(Transactions!$B$5:$B$300,"Payment",Transactions!$H$5:$H$300)</f>
        <v/>
      </c>
      <c r="F20" s="113" t="n"/>
    </row>
    <row r="21" ht="15" customHeight="1" s="108">
      <c r="B21" s="115" t="inlineStr">
        <is>
          <t>❓ Unknown — needs clarification (USD)</t>
        </is>
      </c>
      <c r="C21" s="127" t="n"/>
      <c r="D21" s="127" t="n"/>
      <c r="E21" s="128">
        <f>SUMIF(Transactions!$B$5:$B$300,"❓ Unknown",Transactions!$H$5:$H$300)</f>
        <v/>
      </c>
      <c r="F21" s="127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B19:D19"/>
    <mergeCell ref="E20:F20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baseColWidth="8" defaultColWidth="8.71484375" defaultRowHeight="15" zeroHeight="0" outlineLevelRow="0"/>
  <cols>
    <col width="13" customWidth="1" style="107" min="1" max="2"/>
    <col width="42" customWidth="1" style="107" min="3" max="3"/>
    <col width="30" customWidth="1" style="107" min="4" max="4"/>
    <col width="8" customWidth="1" style="107" min="5" max="5"/>
    <col width="16" customWidth="1" style="107" min="6" max="6"/>
    <col width="12" customWidth="1" style="107" min="7" max="7"/>
    <col width="14" customWidth="1" style="107" min="8" max="8"/>
    <col width="9" customWidth="1" style="107" min="9" max="9"/>
    <col width="14" customWidth="1" style="107" min="10" max="10"/>
    <col width="16" customWidth="1" style="107" min="11" max="11"/>
    <col width="40" customWidth="1" style="107" min="12" max="12"/>
    <col width="28" customWidth="1" style="107" min="13" max="13"/>
    <col width="32" customWidth="1" style="107" min="14" max="14"/>
  </cols>
  <sheetData>
    <row r="1" ht="30" customHeight="1" s="108">
      <c r="A1" s="109" t="inlineStr">
        <is>
          <t>💳 TRANSACTIONS</t>
        </is>
      </c>
    </row>
    <row r="2" ht="15" customHeight="1" s="108">
      <c r="A2" s="110" t="inlineStr">
        <is>
          <t>Columns G–K are formulas (yellow) — only fill A–F and L. Override G or I if agent used a different rate.</t>
        </is>
      </c>
    </row>
    <row r="4" ht="25.5" customHeight="1" s="108">
      <c r="A4" s="129" t="inlineStr">
        <is>
          <t>Date</t>
        </is>
      </c>
      <c r="B4" s="129" t="inlineStr">
        <is>
          <t>Type</t>
        </is>
      </c>
      <c r="C4" s="129" t="inlineStr">
        <is>
          <t>Description</t>
        </is>
      </c>
      <c r="D4" s="129" t="inlineStr">
        <is>
          <t>Payee</t>
        </is>
      </c>
      <c r="E4" s="129" t="inlineStr">
        <is>
          <t>CCY</t>
        </is>
      </c>
      <c r="F4" s="129" t="inlineStr">
        <is>
          <t>Amount</t>
        </is>
      </c>
      <c r="G4" s="130" t="inlineStr">
        <is>
          <t>FX Rate
(1 USD=X)</t>
        </is>
      </c>
      <c r="H4" s="129" t="inlineStr">
        <is>
          <t>Gross USD</t>
        </is>
      </c>
      <c r="I4" s="129" t="inlineStr">
        <is>
          <t>Comm %</t>
        </is>
      </c>
      <c r="J4" s="129" t="inlineStr">
        <is>
          <t>Net USD</t>
        </is>
      </c>
      <c r="K4" s="129" t="inlineStr">
        <is>
          <t>Balance USD</t>
        </is>
      </c>
      <c r="L4" s="129" t="inlineStr">
        <is>
          <t>Notes</t>
        </is>
      </c>
      <c r="M4" s="129" t="inlineStr">
        <is>
          <t>Payer</t>
        </is>
      </c>
      <c r="N4" s="129" t="inlineStr">
        <is>
          <t>Beneficiary</t>
        </is>
      </c>
    </row>
    <row r="5" ht="27.75" customHeight="1" s="108">
      <c r="A5" s="131" t="inlineStr">
        <is>
          <t>~Dec 2025</t>
        </is>
      </c>
      <c r="B5" s="131" t="inlineStr">
        <is>
          <t>Deposit</t>
        </is>
      </c>
      <c r="C5" s="131" t="inlineStr">
        <is>
          <t>50M AED deposit to agent</t>
        </is>
      </c>
      <c r="D5" s="131" t="inlineStr">
        <is>
          <t>(us)</t>
        </is>
      </c>
      <c r="E5" s="132" t="inlineStr">
        <is>
          <t>AED</t>
        </is>
      </c>
      <c r="F5" s="133" t="n">
        <v>50000000</v>
      </c>
      <c r="G5" s="134" t="n">
        <v>3.6725</v>
      </c>
      <c r="H5" s="135" t="n">
        <v>13614703.88</v>
      </c>
      <c r="I5" s="136" t="n">
        <v>0</v>
      </c>
      <c r="J5" s="135" t="n">
        <v>13614703.88</v>
      </c>
      <c r="K5" s="137" t="n">
        <v>13614703.88</v>
      </c>
      <c r="L5" s="138" t="inlineStr">
        <is>
          <t>Opening deposit. Agent confirms $13,614,703.88 in 25.12 balance stmt</t>
        </is>
      </c>
      <c r="M5" s="139" t="n"/>
      <c r="N5" s="139" t="n"/>
    </row>
    <row r="6" ht="27.75" customHeight="1" s="108">
      <c r="A6" s="140" t="inlineStr">
        <is>
          <t>22.12.2025</t>
        </is>
      </c>
      <c r="B6" s="140" t="inlineStr">
        <is>
          <t>Payment</t>
        </is>
      </c>
      <c r="C6" s="140" t="inlineStr">
        <is>
          <t>Chem Ron hire SH-TC2401-22 → Polaris Marine</t>
        </is>
      </c>
      <c r="D6" s="140" t="inlineStr">
        <is>
          <t>POLARIS MARINE LIMITED</t>
        </is>
      </c>
      <c r="E6" s="141" t="inlineStr">
        <is>
          <t>CNY</t>
        </is>
      </c>
      <c r="F6" s="142" t="n">
        <v>74520</v>
      </c>
      <c r="G6" s="134" t="n">
        <v>7.038</v>
      </c>
      <c r="H6" s="135" t="n">
        <v>10588.24</v>
      </c>
      <c r="I6" s="136" t="n">
        <v>0.005</v>
      </c>
      <c r="J6" s="135" t="n">
        <v>-10641.45</v>
      </c>
      <c r="K6" s="137" t="n">
        <v>13604062.43</v>
      </c>
      <c r="L6" s="138" t="inlineStr">
        <is>
          <t>Jiaren Marine / PING AN Bank. 25.12 balance confirmed</t>
        </is>
      </c>
      <c r="M6" s="139" t="inlineStr">
        <is>
          <t>ELITESPHERE</t>
        </is>
      </c>
      <c r="N6" s="139" t="inlineStr">
        <is>
          <t>ELITESPHERE PTE LTD</t>
        </is>
      </c>
    </row>
    <row r="7" ht="27.75" customHeight="1" s="108">
      <c r="A7" s="140" t="inlineStr">
        <is>
          <t>25.12.2025</t>
        </is>
      </c>
      <c r="B7" s="140" t="inlineStr">
        <is>
          <t>Payment</t>
        </is>
      </c>
      <c r="C7" s="140" t="inlineStr">
        <is>
          <t>RUB payment — prior deal (ЦБ 78.4368)</t>
        </is>
      </c>
      <c r="D7" s="140" t="inlineStr">
        <is>
          <t>TRADE X MIDDLE EAST FZCO</t>
        </is>
      </c>
      <c r="E7" s="141" t="inlineStr">
        <is>
          <t>RUB</t>
        </is>
      </c>
      <c r="F7" s="142" t="n">
        <v>1062790869.53</v>
      </c>
      <c r="G7" s="134" t="n">
        <v>78.43680000000001</v>
      </c>
      <c r="H7" s="135" t="n">
        <v>13549645.95</v>
      </c>
      <c r="I7" s="136" t="n">
        <v>0.004</v>
      </c>
      <c r="J7" s="135" t="n">
        <v>-13604062.2</v>
      </c>
      <c r="K7" s="137" t="n">
        <v>0.23</v>
      </c>
      <c r="L7" s="138" t="inlineStr">
        <is>
          <t>Balance = $0 after this. 25.12 balance stmt</t>
        </is>
      </c>
      <c r="M7" s="139" t="n"/>
      <c r="N7" s="139" t="n"/>
    </row>
    <row r="8" ht="27.75" customHeight="1" s="108">
      <c r="A8" s="131" t="inlineStr">
        <is>
          <t>~Late Dec</t>
        </is>
      </c>
      <c r="B8" s="131" t="inlineStr">
        <is>
          <t>Deposit</t>
        </is>
      </c>
      <c r="C8" s="131" t="inlineStr">
        <is>
          <t>CNY 79,993,251 — Nexus → Elitesphere PingAn</t>
        </is>
      </c>
      <c r="D8" s="131" t="inlineStr">
        <is>
          <t>(us)</t>
        </is>
      </c>
      <c r="E8" s="132" t="inlineStr">
        <is>
          <t>CNY</t>
        </is>
      </c>
      <c r="F8" s="133" t="n">
        <v>79993251</v>
      </c>
      <c r="G8" s="134" t="n">
        <v>7.01251</v>
      </c>
      <c r="H8" s="135" t="n">
        <v>11407217.7</v>
      </c>
      <c r="I8" s="136" t="n">
        <v>0</v>
      </c>
      <c r="J8" s="135" t="n">
        <v>11407217.7</v>
      </c>
      <c r="K8" s="137" t="n">
        <v>11407217.93</v>
      </c>
      <c r="L8" s="138" t="inlineStr">
        <is>
          <t>RCVD confirmed 30.12.2025</t>
        </is>
      </c>
      <c r="M8" s="139" t="inlineStr">
        <is>
          <t>NEXUS MARINE</t>
        </is>
      </c>
      <c r="N8" s="139" t="inlineStr">
        <is>
          <t>ELITESPHERE PTE LTD</t>
        </is>
      </c>
    </row>
    <row r="9" ht="27.75" customHeight="1" s="108">
      <c r="A9" s="140" t="inlineStr">
        <is>
          <t>29.12.2025</t>
        </is>
      </c>
      <c r="B9" s="140" t="inlineStr">
        <is>
          <t>Payment</t>
        </is>
      </c>
      <c r="C9" s="140" t="inlineStr">
        <is>
          <t>Jiangsu Jinyangtong Shipping (Solhut Intercontinental)</t>
        </is>
      </c>
      <c r="D9" s="140" t="inlineStr">
        <is>
          <t>JIANGSU JINYANGTONG SHIPPING</t>
        </is>
      </c>
      <c r="E9" s="141" t="inlineStr">
        <is>
          <t>CNY</t>
        </is>
      </c>
      <c r="F9" s="142" t="n">
        <v>381089</v>
      </c>
      <c r="G9" s="134" t="n">
        <v>7.01251</v>
      </c>
      <c r="H9" s="135" t="n">
        <v>54344.15</v>
      </c>
      <c r="I9" s="136" t="n">
        <v>0.005</v>
      </c>
      <c r="J9" s="135" t="n">
        <v>-54617.24</v>
      </c>
      <c r="K9" s="137" t="n">
        <v>11352600.69</v>
      </c>
      <c r="L9" s="138" t="inlineStr">
        <is>
          <t>Solhut HK. BofChina. Ref PI9HK3587KA01546</t>
        </is>
      </c>
      <c r="M9" s="139" t="inlineStr">
        <is>
          <t>ELITESPHERE</t>
        </is>
      </c>
      <c r="N9" s="139" t="inlineStr">
        <is>
          <t>ELITESPHERE PTE LTD</t>
        </is>
      </c>
    </row>
    <row r="10" ht="27.75" customHeight="1" s="108">
      <c r="A10" s="140" t="inlineStr">
        <is>
          <t>06.01.2026</t>
        </is>
      </c>
      <c r="B10" s="140" t="inlineStr">
        <is>
          <t>Payment</t>
        </is>
      </c>
      <c r="C10" s="140" t="inlineStr">
        <is>
          <t>Chem Ron 23rd hire SH-TC2401-23 → Polaris Marine</t>
        </is>
      </c>
      <c r="D10" s="140" t="inlineStr">
        <is>
          <t>POLARIS MARINE LIMITED</t>
        </is>
      </c>
      <c r="E10" s="141" t="inlineStr">
        <is>
          <t>CNY</t>
        </is>
      </c>
      <c r="F10" s="142" t="n">
        <v>4356737.02</v>
      </c>
      <c r="G10" s="134" t="n">
        <v>7.01251</v>
      </c>
      <c r="H10" s="135" t="n">
        <v>621280.51</v>
      </c>
      <c r="I10" s="136" t="n">
        <v>0.005</v>
      </c>
      <c r="J10" s="135" t="n">
        <v>-624402.52</v>
      </c>
      <c r="K10" s="137" t="n">
        <v>10728198.17</v>
      </c>
      <c r="L10" s="138" t="inlineStr">
        <is>
          <t>Bank of Shanghai → PingAn. USD 696k equiv</t>
        </is>
      </c>
      <c r="M10" s="139" t="inlineStr">
        <is>
          <t>ELITESPHERE</t>
        </is>
      </c>
      <c r="N10" s="139" t="inlineStr">
        <is>
          <t>ELITESPHERE PTE LTD</t>
        </is>
      </c>
    </row>
    <row r="11" ht="27.75" customHeight="1" s="108">
      <c r="A11" s="143" t="inlineStr">
        <is>
          <t>07.01.2026</t>
        </is>
      </c>
      <c r="B11" s="143" t="inlineStr">
        <is>
          <t>Cash Out</t>
        </is>
      </c>
      <c r="C11" s="143" t="inlineStr">
        <is>
          <t>Cash 2,000,000 AED → Wladimir</t>
        </is>
      </c>
      <c r="D11" s="143" t="inlineStr">
        <is>
          <t>(us)</t>
        </is>
      </c>
      <c r="E11" s="144" t="inlineStr">
        <is>
          <t>AED</t>
        </is>
      </c>
      <c r="F11" s="145" t="n">
        <v>2000000</v>
      </c>
      <c r="G11" s="134" t="n">
        <v>3.6725</v>
      </c>
      <c r="H11" s="135" t="n">
        <v>544588.16</v>
      </c>
      <c r="I11" s="136" t="n">
        <v>0.005</v>
      </c>
      <c r="J11" s="135" t="n">
        <v>-547324.78</v>
      </c>
      <c r="K11" s="137" t="n">
        <v>10180873.39</v>
      </c>
      <c r="L11" s="138" t="inlineStr">
        <is>
          <t>Hoja delivered. Wladimir confirmed</t>
        </is>
      </c>
      <c r="M11" s="139" t="n"/>
      <c r="N11" s="139" t="n"/>
    </row>
    <row r="12" ht="27.75" customHeight="1" s="108">
      <c r="A12" s="143" t="inlineStr">
        <is>
          <t>08.01.2026</t>
        </is>
      </c>
      <c r="B12" s="143" t="inlineStr">
        <is>
          <t>Cash Out</t>
        </is>
      </c>
      <c r="C12" s="143" t="inlineStr">
        <is>
          <t>Cash 1,650,000 AED → Alex</t>
        </is>
      </c>
      <c r="D12" s="143" t="inlineStr">
        <is>
          <t>(us)</t>
        </is>
      </c>
      <c r="E12" s="144" t="inlineStr">
        <is>
          <t>AED</t>
        </is>
      </c>
      <c r="F12" s="145" t="n">
        <v>1650000</v>
      </c>
      <c r="G12" s="134" t="n">
        <v>3.6725</v>
      </c>
      <c r="H12" s="135" t="n">
        <v>449285.23</v>
      </c>
      <c r="I12" s="136" t="n">
        <v>0.005</v>
      </c>
      <c r="J12" s="135" t="n">
        <v>-451542.94</v>
      </c>
      <c r="K12" s="137" t="n">
        <v>9729330.449999999</v>
      </c>
      <c r="L12" s="138" t="inlineStr">
        <is>
          <t>Hoja delivered. Alex confirmed</t>
        </is>
      </c>
      <c r="M12" s="139" t="n"/>
      <c r="N12" s="139" t="n"/>
    </row>
    <row r="13" ht="27.75" customHeight="1" s="108">
      <c r="A13" s="140" t="inlineStr">
        <is>
          <t>14.01.2026</t>
        </is>
      </c>
      <c r="B13" s="140" t="inlineStr">
        <is>
          <t>Payment</t>
        </is>
      </c>
      <c r="C13" s="140" t="inlineStr">
        <is>
          <t>RUB → Trade X (=$5M USD equiv, ЦБ 78.8527)</t>
        </is>
      </c>
      <c r="D13" s="140" t="inlineStr">
        <is>
          <t>TRADE X MIDDLE EAST FZCO</t>
        </is>
      </c>
      <c r="E13" s="141" t="inlineStr">
        <is>
          <t>RUB</t>
        </is>
      </c>
      <c r="F13" s="142" t="n">
        <v>392686446</v>
      </c>
      <c r="G13" s="134" t="n">
        <v>78.8527</v>
      </c>
      <c r="H13" s="135" t="n">
        <v>4980000</v>
      </c>
      <c r="I13" s="136" t="n">
        <v>0.004</v>
      </c>
      <c r="J13" s="135" t="n">
        <v>-5000000</v>
      </c>
      <c r="K13" s="137" t="n">
        <v>4729330.45</v>
      </c>
      <c r="L13" s="138" t="inlineStr">
        <is>
          <t>Masadan Trading payer. ИСПОЛНЕНО 14.01.2026</t>
        </is>
      </c>
      <c r="M13" s="139" t="inlineStr">
        <is>
          <t>MASADAN TRADING</t>
        </is>
      </c>
      <c r="N13" s="139" t="n"/>
    </row>
    <row r="14" ht="27.75" customHeight="1" s="108">
      <c r="A14" s="143" t="inlineStr">
        <is>
          <t>14.01.2026</t>
        </is>
      </c>
      <c r="B14" s="143" t="inlineStr">
        <is>
          <t>Cash Out</t>
        </is>
      </c>
      <c r="C14" s="143" t="inlineStr">
        <is>
          <t>Cash 3,000,000 AED → office</t>
        </is>
      </c>
      <c r="D14" s="143" t="inlineStr">
        <is>
          <t>(us)</t>
        </is>
      </c>
      <c r="E14" s="144" t="inlineStr">
        <is>
          <t>AED</t>
        </is>
      </c>
      <c r="F14" s="145" t="n">
        <v>3000000</v>
      </c>
      <c r="G14" s="134" t="n">
        <v>3.6725</v>
      </c>
      <c r="H14" s="135" t="n">
        <v>816882.23</v>
      </c>
      <c r="I14" s="136" t="n">
        <v>0.005</v>
      </c>
      <c r="J14" s="135" t="n">
        <v>-820987.17</v>
      </c>
      <c r="K14" s="137" t="n">
        <v>3908343.28</v>
      </c>
      <c r="L14" s="138" t="inlineStr">
        <is>
          <t>Delivered to office. Wladimir/Alex received</t>
        </is>
      </c>
      <c r="M14" s="139" t="n"/>
      <c r="N14" s="139" t="n"/>
    </row>
    <row r="15" ht="27.75" customHeight="1" s="108">
      <c r="A15" s="140" t="inlineStr">
        <is>
          <t>14.01.2026</t>
        </is>
      </c>
      <c r="B15" s="140" t="inlineStr">
        <is>
          <t>Payment</t>
        </is>
      </c>
      <c r="C15" s="140" t="inlineStr">
        <is>
          <t>Al Watan RAK — inv 2000166506</t>
        </is>
      </c>
      <c r="D15" s="140" t="inlineStr">
        <is>
          <t>AL WATAN RAK</t>
        </is>
      </c>
      <c r="E15" s="141" t="inlineStr">
        <is>
          <t>AED</t>
        </is>
      </c>
      <c r="F15" s="142" t="n">
        <v>30240</v>
      </c>
      <c r="G15" s="134" t="n">
        <v>3.6725</v>
      </c>
      <c r="H15" s="135" t="n">
        <v>8234.17</v>
      </c>
      <c r="I15" s="136" t="n">
        <v>0.005</v>
      </c>
      <c r="J15" s="135" t="n">
        <v>-8275.549999999999</v>
      </c>
      <c r="K15" s="137" t="n">
        <v>3900067.73</v>
      </c>
      <c r="L15" s="138" t="inlineStr">
        <is>
          <t>Inv date 31.12.2025. RAWRIMA payer. Ref 1164015</t>
        </is>
      </c>
      <c r="M15" s="139" t="inlineStr">
        <is>
          <t>RAWRIMA</t>
        </is>
      </c>
      <c r="N15" s="139" t="inlineStr">
        <is>
          <t>RAWRIMA FZCO</t>
        </is>
      </c>
    </row>
    <row r="16" ht="27.75" customHeight="1" s="108">
      <c r="A16" s="140" t="inlineStr">
        <is>
          <t>14.01.2026</t>
        </is>
      </c>
      <c r="B16" s="140" t="inlineStr">
        <is>
          <t>Payment</t>
        </is>
      </c>
      <c r="C16" s="140" t="inlineStr">
        <is>
          <t>Lux Lifestyles — LUX-INV2025-228</t>
        </is>
      </c>
      <c r="D16" s="140" t="inlineStr">
        <is>
          <t>LUX LIFESTYLES TRADING LLC</t>
        </is>
      </c>
      <c r="E16" s="141" t="inlineStr">
        <is>
          <t>AED</t>
        </is>
      </c>
      <c r="F16" s="142" t="n">
        <v>1890</v>
      </c>
      <c r="G16" s="134" t="n">
        <v>3.6725</v>
      </c>
      <c r="H16" s="135" t="n">
        <v>514.64</v>
      </c>
      <c r="I16" s="136" t="n">
        <v>0.005</v>
      </c>
      <c r="J16" s="135" t="n">
        <v>-517.23</v>
      </c>
      <c r="K16" s="137" t="n">
        <v>3899550.5</v>
      </c>
      <c r="L16" s="138" t="inlineStr">
        <is>
          <t>Event support 01.12.2025. RAWRIMA payer. Ref 1163835</t>
        </is>
      </c>
      <c r="M16" s="139" t="inlineStr">
        <is>
          <t>RAWRIMA</t>
        </is>
      </c>
      <c r="N16" s="139" t="inlineStr">
        <is>
          <t>RAWRIMA FZCO</t>
        </is>
      </c>
    </row>
    <row r="17" ht="27.75" customHeight="1" s="108">
      <c r="A17" s="140" t="inlineStr">
        <is>
          <t>14.01.2026</t>
        </is>
      </c>
      <c r="B17" s="140" t="inlineStr">
        <is>
          <t>Payment</t>
        </is>
      </c>
      <c r="C17" s="140" t="inlineStr">
        <is>
          <t>Lux Lifestyles — LUX-INV2026-004</t>
        </is>
      </c>
      <c r="D17" s="140" t="inlineStr">
        <is>
          <t>LUX LIFESTYLES TRADING LLC</t>
        </is>
      </c>
      <c r="E17" s="141" t="inlineStr">
        <is>
          <t>AED</t>
        </is>
      </c>
      <c r="F17" s="142" t="n">
        <v>27858.6</v>
      </c>
      <c r="G17" s="134" t="n">
        <v>3.6725</v>
      </c>
      <c r="H17" s="135" t="n">
        <v>7585.73</v>
      </c>
      <c r="I17" s="136" t="n">
        <v>0.005</v>
      </c>
      <c r="J17" s="135" t="n">
        <v>-7623.85</v>
      </c>
      <c r="K17" s="137" t="n">
        <v>3891926.65</v>
      </c>
      <c r="L17" s="138" t="inlineStr">
        <is>
          <t>Lutron programming. RAWRIMA payer. Ref 1163838</t>
        </is>
      </c>
      <c r="M17" s="139" t="inlineStr">
        <is>
          <t>RAWRIMA</t>
        </is>
      </c>
      <c r="N17" s="139" t="inlineStr">
        <is>
          <t>RAWRIMA FZCO</t>
        </is>
      </c>
    </row>
    <row r="18" ht="27.75" customHeight="1" s="108">
      <c r="A18" s="140" t="inlineStr">
        <is>
          <t>16.01.2026</t>
        </is>
      </c>
      <c r="B18" s="140" t="inlineStr">
        <is>
          <t>Payment</t>
        </is>
      </c>
      <c r="C18" s="140" t="inlineStr">
        <is>
          <t>MENA Terminals Fujairah — PoF batch Dec 2025 (5 inv)</t>
        </is>
      </c>
      <c r="D18" s="140" t="inlineStr">
        <is>
          <t>MENA TERMINALS FUJAIRAH LLC FZC</t>
        </is>
      </c>
      <c r="E18" s="141" t="inlineStr">
        <is>
          <t>AED</t>
        </is>
      </c>
      <c r="F18" s="142" t="n">
        <v>283413.37</v>
      </c>
      <c r="G18" s="134" t="n">
        <v>3.6725</v>
      </c>
      <c r="H18" s="135" t="n">
        <v>77171.78</v>
      </c>
      <c r="I18" s="136" t="n">
        <v>0.005</v>
      </c>
      <c r="J18" s="135" t="n">
        <v>-77559.58</v>
      </c>
      <c r="K18" s="137" t="n">
        <v>3814367.07</v>
      </c>
      <c r="L18" s="138" t="inlineStr">
        <is>
          <t>TROVECO payer. Ref 7202386567064989</t>
        </is>
      </c>
      <c r="M18" s="139" t="inlineStr">
        <is>
          <t>TROVECO</t>
        </is>
      </c>
      <c r="N18" s="139" t="inlineStr">
        <is>
          <t>TROVECO DMCC</t>
        </is>
      </c>
    </row>
    <row r="19" ht="27.75" customHeight="1" s="108">
      <c r="A19" s="140" t="inlineStr">
        <is>
          <t>16.01.2026</t>
        </is>
      </c>
      <c r="B19" s="140" t="inlineStr">
        <is>
          <t>Payment</t>
        </is>
      </c>
      <c r="C19" s="140" t="inlineStr">
        <is>
          <t>Quill Corporate — inv 143-122025</t>
        </is>
      </c>
      <c r="D19" s="140" t="inlineStr">
        <is>
          <t>QUILL CORPORATE SERVICES LLC</t>
        </is>
      </c>
      <c r="E19" s="141" t="inlineStr">
        <is>
          <t>AED</t>
        </is>
      </c>
      <c r="F19" s="142" t="n">
        <v>9082.5</v>
      </c>
      <c r="G19" s="134" t="n">
        <v>3.6725</v>
      </c>
      <c r="H19" s="135" t="n">
        <v>2473.11</v>
      </c>
      <c r="I19" s="136" t="n">
        <v>0.005</v>
      </c>
      <c r="J19" s="135" t="n">
        <v>-2485.54</v>
      </c>
      <c r="K19" s="137" t="n">
        <v>3811881.53</v>
      </c>
      <c r="L19" s="138" t="inlineStr">
        <is>
          <t>M&amp;M DMCC Change of Director. RAWRIMA payer. Ref 1165703</t>
        </is>
      </c>
      <c r="M19" s="139" t="inlineStr">
        <is>
          <t>RAWRIMA</t>
        </is>
      </c>
      <c r="N19" s="139" t="inlineStr">
        <is>
          <t>RAWRIMA FZCO</t>
        </is>
      </c>
    </row>
    <row r="20" ht="27.75" customHeight="1" s="108">
      <c r="A20" s="140" t="inlineStr">
        <is>
          <t>16.01.2026</t>
        </is>
      </c>
      <c r="B20" s="140" t="inlineStr">
        <is>
          <t>Payment</t>
        </is>
      </c>
      <c r="C20" s="140" t="inlineStr">
        <is>
          <t>Quill Corporate — inv 93-012026</t>
        </is>
      </c>
      <c r="D20" s="140" t="inlineStr">
        <is>
          <t>QUILL CORPORATE SERVICES LLC</t>
        </is>
      </c>
      <c r="E20" s="141" t="inlineStr">
        <is>
          <t>AED</t>
        </is>
      </c>
      <c r="F20" s="142" t="n">
        <v>4160</v>
      </c>
      <c r="G20" s="134" t="n">
        <v>3.6725</v>
      </c>
      <c r="H20" s="135" t="n">
        <v>1132.74</v>
      </c>
      <c r="I20" s="136" t="n">
        <v>0.005</v>
      </c>
      <c r="J20" s="135" t="n">
        <v>-1138.43</v>
      </c>
      <c r="K20" s="137" t="n">
        <v>3810743.1</v>
      </c>
      <c r="L20" s="138" t="inlineStr">
        <is>
          <t>Change of Manager &amp; Secretary DMCC. Ref 1165881</t>
        </is>
      </c>
      <c r="M20" s="139" t="inlineStr">
        <is>
          <t>RAWRIMA</t>
        </is>
      </c>
      <c r="N20" s="139" t="inlineStr">
        <is>
          <t>RAWRIMA FZCO</t>
        </is>
      </c>
    </row>
    <row r="21" ht="27.75" customHeight="1" s="108">
      <c r="A21" s="140" t="inlineStr">
        <is>
          <t>21.01.2026</t>
        </is>
      </c>
      <c r="B21" s="140" t="inlineStr">
        <is>
          <t>Payment</t>
        </is>
      </c>
      <c r="C21" s="140" t="inlineStr">
        <is>
          <t>JBC Management DMCC — cheque 5,000 AED</t>
        </is>
      </c>
      <c r="D21" s="140" t="inlineStr">
        <is>
          <t>JBC MANAGEMENT DMCC</t>
        </is>
      </c>
      <c r="E21" s="141" t="inlineStr">
        <is>
          <t>AED</t>
        </is>
      </c>
      <c r="F21" s="142" t="n">
        <v>5000</v>
      </c>
      <c r="G21" s="134" t="n">
        <v>3.6725</v>
      </c>
      <c r="H21" s="135" t="n">
        <v>1361.47</v>
      </c>
      <c r="I21" s="136" t="n">
        <v>0.005</v>
      </c>
      <c r="J21" s="135" t="n">
        <v>-1368.31</v>
      </c>
      <c r="K21" s="137" t="n">
        <v>3809374.79</v>
      </c>
      <c r="L21" s="138" t="inlineStr">
        <is>
          <t>Cheque issued and delivered to office</t>
        </is>
      </c>
      <c r="M21" s="139" t="inlineStr">
        <is>
          <t>Cash (cheque)</t>
        </is>
      </c>
      <c r="N21" s="139" t="n"/>
    </row>
    <row r="22" ht="27.75" customHeight="1" s="108">
      <c r="A22" s="140" t="inlineStr">
        <is>
          <t>21.01.2026</t>
        </is>
      </c>
      <c r="B22" s="140" t="inlineStr">
        <is>
          <t>Payment</t>
        </is>
      </c>
      <c r="C22" s="140" t="inlineStr">
        <is>
          <t>Al Bastaki — INV-2563 visa cancellation</t>
        </is>
      </c>
      <c r="D22" s="140" t="inlineStr">
        <is>
          <t>AL BASTAKI BUSINESS SERVICES LLC</t>
        </is>
      </c>
      <c r="E22" s="141" t="inlineStr">
        <is>
          <t>AED</t>
        </is>
      </c>
      <c r="F22" s="142" t="n">
        <v>2350</v>
      </c>
      <c r="G22" s="134" t="n">
        <v>3.6725</v>
      </c>
      <c r="H22" s="135" t="n">
        <v>639.89</v>
      </c>
      <c r="I22" s="136" t="n">
        <v>0.005</v>
      </c>
      <c r="J22" s="135" t="n">
        <v>-643.11</v>
      </c>
      <c r="K22" s="137" t="n">
        <v>3808731.68</v>
      </c>
      <c r="L22" s="138" t="inlineStr">
        <is>
          <t>Visa cancellation Dmitrii Prokhorov. BALKEMY. FT26021H8D45</t>
        </is>
      </c>
      <c r="M22" s="139" t="inlineStr">
        <is>
          <t>BALKEMY</t>
        </is>
      </c>
      <c r="N22" s="139" t="inlineStr">
        <is>
          <t>BALKEMY GENERAL TRADING</t>
        </is>
      </c>
    </row>
    <row r="23" ht="27.75" customHeight="1" s="108">
      <c r="A23" s="140" t="inlineStr">
        <is>
          <t>21.01.2026</t>
        </is>
      </c>
      <c r="B23" s="140" t="inlineStr">
        <is>
          <t>Payment</t>
        </is>
      </c>
      <c r="C23" s="140" t="inlineStr">
        <is>
          <t>RSM Stone Forest — inv 2480+2481+2482 (3 SG cos)</t>
        </is>
      </c>
      <c r="D23" s="140" t="inlineStr">
        <is>
          <t>RSM STONE FOREST CORPSERVE PTE LTD</t>
        </is>
      </c>
      <c r="E23" s="141" t="inlineStr">
        <is>
          <t>SGD</t>
        </is>
      </c>
      <c r="F23" s="142" t="n">
        <v>932.7</v>
      </c>
      <c r="G23" s="134" t="n">
        <v>1.2535</v>
      </c>
      <c r="H23" s="135" t="n">
        <v>744.08</v>
      </c>
      <c r="I23" s="136" t="n">
        <v>0.005</v>
      </c>
      <c r="J23" s="135" t="n">
        <v>-747.8200000000001</v>
      </c>
      <c r="K23" s="137" t="n">
        <v>3807983.86</v>
      </c>
      <c r="L23" s="138" t="inlineStr">
        <is>
          <t>NBAD→DBS. FT26021C826J. SGD/AED rate 2.93</t>
        </is>
      </c>
      <c r="M23" s="139" t="inlineStr">
        <is>
          <t>ELITESPHERE</t>
        </is>
      </c>
      <c r="N23" s="139" t="inlineStr">
        <is>
          <t>Multiple SG entities</t>
        </is>
      </c>
    </row>
    <row r="24" ht="27.75" customHeight="1" s="108">
      <c r="A24" s="143" t="inlineStr">
        <is>
          <t>21.01.2026</t>
        </is>
      </c>
      <c r="B24" s="143" t="inlineStr">
        <is>
          <t>Cash Out</t>
        </is>
      </c>
      <c r="C24" s="143" t="inlineStr">
        <is>
          <t>Cash 17,000 SGD in Singapore</t>
        </is>
      </c>
      <c r="D24" s="143" t="inlineStr">
        <is>
          <t>(us)</t>
        </is>
      </c>
      <c r="E24" s="144" t="inlineStr">
        <is>
          <t>SGD</t>
        </is>
      </c>
      <c r="F24" s="145" t="n">
        <v>17000</v>
      </c>
      <c r="G24" s="134" t="n">
        <v>1.2535</v>
      </c>
      <c r="H24" s="135" t="n">
        <v>13562.03</v>
      </c>
      <c r="I24" s="136" t="n">
        <v>0.005</v>
      </c>
      <c r="J24" s="135" t="n">
        <v>-13630.18</v>
      </c>
      <c r="K24" s="137" t="n">
        <v>3794353.68</v>
      </c>
      <c r="L24" s="138" t="inlineStr">
        <is>
          <t>Alex received in SG. Photo token confirmed</t>
        </is>
      </c>
      <c r="M24" s="139" t="n"/>
      <c r="N24" s="139" t="n"/>
    </row>
    <row r="25" ht="27.75" customHeight="1" s="108">
      <c r="A25" s="140" t="inlineStr">
        <is>
          <t>22.01.2026</t>
        </is>
      </c>
      <c r="B25" s="140" t="inlineStr">
        <is>
          <t>Payment</t>
        </is>
      </c>
      <c r="C25" s="140" t="inlineStr">
        <is>
          <t>Aqua Reach — Balkemy internal transfer</t>
        </is>
      </c>
      <c r="D25" s="140" t="inlineStr">
        <is>
          <t>AQUA REACH GENERAL TRADING LLC</t>
        </is>
      </c>
      <c r="E25" s="141" t="inlineStr">
        <is>
          <t>AED</t>
        </is>
      </c>
      <c r="F25" s="142" t="n">
        <v>2121212.17</v>
      </c>
      <c r="G25" s="134" t="n">
        <v>3.6725</v>
      </c>
      <c r="H25" s="135" t="n">
        <v>577593.51</v>
      </c>
      <c r="I25" s="136" t="n">
        <v>0.005</v>
      </c>
      <c r="J25" s="135" t="n">
        <v>-580495.99</v>
      </c>
      <c r="K25" s="137" t="n">
        <v>3213857.69</v>
      </c>
      <c r="L25" s="138" t="inlineStr">
        <is>
          <t>Balkemy → Aqua Reach Banque Misr</t>
        </is>
      </c>
      <c r="M25" s="139" t="inlineStr">
        <is>
          <t>BALKEMY</t>
        </is>
      </c>
      <c r="N25" s="139" t="inlineStr">
        <is>
          <t>BALKEMY GENERAL TRADING</t>
        </is>
      </c>
    </row>
    <row r="26" ht="27.75" customHeight="1" s="108">
      <c r="A26" s="146" t="inlineStr">
        <is>
          <t>03.02.2026</t>
        </is>
      </c>
      <c r="B26" s="146" t="inlineStr">
        <is>
          <t>Cash In</t>
        </is>
      </c>
      <c r="C26" s="146" t="inlineStr">
        <is>
          <t>Egor sent 90,500 AED to Balkemy (Banque Misr)</t>
        </is>
      </c>
      <c r="D26" s="146" t="inlineStr">
        <is>
          <t>(us)</t>
        </is>
      </c>
      <c r="E26" s="147" t="inlineStr">
        <is>
          <t>AED</t>
        </is>
      </c>
      <c r="F26" s="148" t="n">
        <v>90500</v>
      </c>
      <c r="G26" s="134" t="n">
        <v>3.6725</v>
      </c>
      <c r="H26" s="135" t="n">
        <v>24642.61</v>
      </c>
      <c r="I26" s="136" t="n">
        <v>0</v>
      </c>
      <c r="J26" s="135" t="n">
        <v>24642.61</v>
      </c>
      <c r="K26" s="137" t="n">
        <v>3238500.3</v>
      </c>
      <c r="L26" s="138" t="inlineStr">
        <is>
          <t>Egor confirmed sent 03.02.2026</t>
        </is>
      </c>
      <c r="M26" s="139" t="n"/>
      <c r="N26" s="139" t="inlineStr">
        <is>
          <t>BALKEMY GENERAL TRADING</t>
        </is>
      </c>
    </row>
    <row r="27" ht="27.75" customHeight="1" s="108">
      <c r="A27" s="143" t="inlineStr">
        <is>
          <t>29.01.2026</t>
        </is>
      </c>
      <c r="B27" s="143" t="inlineStr">
        <is>
          <t>Cash Out</t>
        </is>
      </c>
      <c r="C27" s="143" t="inlineStr">
        <is>
          <t>Cash 2,000,000 AED → Alex</t>
        </is>
      </c>
      <c r="D27" s="143" t="inlineStr">
        <is>
          <t>(us)</t>
        </is>
      </c>
      <c r="E27" s="144" t="inlineStr">
        <is>
          <t>AED</t>
        </is>
      </c>
      <c r="F27" s="145" t="n">
        <v>2000000</v>
      </c>
      <c r="G27" s="134" t="n">
        <v>3.6725</v>
      </c>
      <c r="H27" s="135" t="n">
        <v>544588.16</v>
      </c>
      <c r="I27" s="136" t="n">
        <v>0.005</v>
      </c>
      <c r="J27" s="135" t="n">
        <v>-547324.78</v>
      </c>
      <c r="K27" s="137" t="n">
        <v>2691175.52</v>
      </c>
      <c r="L27" s="138" t="inlineStr">
        <is>
          <t>Alex received</t>
        </is>
      </c>
      <c r="M27" s="139" t="n"/>
      <c r="N27" s="139" t="n"/>
    </row>
    <row r="28" ht="27.75" customHeight="1" s="108">
      <c r="A28" s="140" t="inlineStr">
        <is>
          <t>28.01.2026</t>
        </is>
      </c>
      <c r="B28" s="140" t="inlineStr">
        <is>
          <t>Payment</t>
        </is>
      </c>
      <c r="C28" s="140" t="inlineStr">
        <is>
          <t>Quill Corporate — 12 invoices batch 55,453.14 AED</t>
        </is>
      </c>
      <c r="D28" s="140" t="inlineStr">
        <is>
          <t>QUILL CORPORATE SERVICES LLC</t>
        </is>
      </c>
      <c r="E28" s="141" t="inlineStr">
        <is>
          <t>AED</t>
        </is>
      </c>
      <c r="F28" s="142" t="n">
        <v>55453.14</v>
      </c>
      <c r="G28" s="134" t="n">
        <v>3.6725</v>
      </c>
      <c r="H28" s="135" t="n">
        <v>15099.56</v>
      </c>
      <c r="I28" s="136" t="n">
        <v>0.005</v>
      </c>
      <c r="J28" s="135" t="n">
        <v>-15175.44</v>
      </c>
      <c r="K28" s="137" t="n">
        <v>2676000.08</v>
      </c>
      <c r="L28" s="138" t="inlineStr">
        <is>
          <t>Oct-Dec 2025 batch. BALKEMY payer. Ref 1177202</t>
        </is>
      </c>
      <c r="M28" s="139" t="inlineStr">
        <is>
          <t>BALKEMY</t>
        </is>
      </c>
      <c r="N28" s="139" t="inlineStr">
        <is>
          <t>BALKEMY GENERAL TRADING</t>
        </is>
      </c>
    </row>
    <row r="29" ht="27.75" customHeight="1" s="108">
      <c r="A29" s="140" t="inlineStr">
        <is>
          <t>04.02.2026</t>
        </is>
      </c>
      <c r="B29" s="140" t="inlineStr">
        <is>
          <t>Payment</t>
        </is>
      </c>
      <c r="C29" s="140" t="inlineStr">
        <is>
          <t>Fu Hao Trading — Crown Powerful China mktg svcs</t>
        </is>
      </c>
      <c r="D29" s="140" t="inlineStr">
        <is>
          <t>FU HAO TRADING LIMITED</t>
        </is>
      </c>
      <c r="E29" s="141" t="inlineStr">
        <is>
          <t>CNY</t>
        </is>
      </c>
      <c r="F29" s="142" t="n">
        <v>496460.13</v>
      </c>
      <c r="G29" s="134" t="n">
        <v>6.939</v>
      </c>
      <c r="H29" s="135" t="n">
        <v>71546.35000000001</v>
      </c>
      <c r="I29" s="136" t="n">
        <v>0.005</v>
      </c>
      <c r="J29" s="135" t="n">
        <v>-71905.88</v>
      </c>
      <c r="K29" s="137" t="n">
        <v>2604094.2</v>
      </c>
      <c r="L29" s="138" t="inlineStr">
        <is>
          <t>HKD 550,250 = CNY 496,460. Elitesphere PingAn</t>
        </is>
      </c>
      <c r="M29" s="139" t="inlineStr">
        <is>
          <t>ELITESPHERE</t>
        </is>
      </c>
      <c r="N29" s="139" t="inlineStr">
        <is>
          <t>ELITESPHERE PTE LTD</t>
        </is>
      </c>
    </row>
    <row r="30" ht="27.75" customHeight="1" s="108">
      <c r="A30" s="140" t="inlineStr">
        <is>
          <t>04.02.2026</t>
        </is>
      </c>
      <c r="B30" s="140" t="inlineStr">
        <is>
          <t>Payment</t>
        </is>
      </c>
      <c r="C30" s="140" t="inlineStr">
        <is>
          <t>Menuristic — INV-2601-005 cloud hosting Jan-Mar 26</t>
        </is>
      </c>
      <c r="D30" s="140" t="inlineStr">
        <is>
          <t>MENURISTIC PTE LTD</t>
        </is>
      </c>
      <c r="E30" s="141" t="inlineStr">
        <is>
          <t>USD</t>
        </is>
      </c>
      <c r="F30" s="142" t="n">
        <v>2330</v>
      </c>
      <c r="G30" s="134" t="n">
        <v>1</v>
      </c>
      <c r="H30" s="135" t="n">
        <v>2330</v>
      </c>
      <c r="I30" s="136" t="n">
        <v>0.005</v>
      </c>
      <c r="J30" s="135" t="n">
        <v>-2341.71</v>
      </c>
      <c r="K30" s="137" t="n">
        <v>2601752.49</v>
      </c>
      <c r="L30" s="138" t="inlineStr">
        <is>
          <t xml:space="preserve"> Was SGD invoice — agent paid in USD. FT260346180T</t>
        </is>
      </c>
      <c r="M30" s="139" t="inlineStr">
        <is>
          <t>ELITESPHERE</t>
        </is>
      </c>
      <c r="N30" s="139" t="inlineStr">
        <is>
          <t>ELITESPHERE PTE LTD</t>
        </is>
      </c>
    </row>
    <row r="31" ht="27.75" customHeight="1" s="108">
      <c r="A31" s="131" t="inlineStr">
        <is>
          <t>10.02.2026</t>
        </is>
      </c>
      <c r="B31" s="131" t="inlineStr">
        <is>
          <t>Deposit</t>
        </is>
      </c>
      <c r="C31" s="131" t="inlineStr">
        <is>
          <t>CNY 19,500,000 — Nexus → Elitesphere PingAn</t>
        </is>
      </c>
      <c r="D31" s="131" t="inlineStr">
        <is>
          <t>(us)</t>
        </is>
      </c>
      <c r="E31" s="132" t="inlineStr">
        <is>
          <t>CNY</t>
        </is>
      </c>
      <c r="F31" s="133" t="n">
        <v>19500000</v>
      </c>
      <c r="G31" s="134" t="n">
        <v>6.9117</v>
      </c>
      <c r="H31" s="135" t="n">
        <v>2821303.01</v>
      </c>
      <c r="I31" s="136" t="n">
        <v>0</v>
      </c>
      <c r="J31" s="135" t="n">
        <v>2821303.01</v>
      </c>
      <c r="K31" s="137" t="n">
        <v>5423055.5</v>
      </c>
      <c r="L31" s="138" t="inlineStr">
        <is>
          <t>RCVD confirmed 10.02.2026</t>
        </is>
      </c>
      <c r="M31" s="139" t="inlineStr">
        <is>
          <t>NEXUS MARINE</t>
        </is>
      </c>
      <c r="N31" s="139" t="inlineStr">
        <is>
          <t>ELITESPHERE PTE LTD</t>
        </is>
      </c>
    </row>
    <row r="32" ht="27.75" customHeight="1" s="108">
      <c r="A32" s="143" t="inlineStr">
        <is>
          <t>12.02.2026</t>
        </is>
      </c>
      <c r="B32" s="143" t="inlineStr">
        <is>
          <t>Cash Out</t>
        </is>
      </c>
      <c r="C32" s="143" t="inlineStr">
        <is>
          <t>Cash 4,000,000 AED → Alex</t>
        </is>
      </c>
      <c r="D32" s="143" t="inlineStr">
        <is>
          <t>(us)</t>
        </is>
      </c>
      <c r="E32" s="144" t="inlineStr">
        <is>
          <t>AED</t>
        </is>
      </c>
      <c r="F32" s="145" t="n">
        <v>4000000</v>
      </c>
      <c r="G32" s="134" t="n">
        <v>3.6725</v>
      </c>
      <c r="H32" s="135" t="n">
        <v>1089176.31</v>
      </c>
      <c r="I32" s="136" t="n">
        <v>0.005</v>
      </c>
      <c r="J32" s="135" t="n">
        <v>-1094649.56</v>
      </c>
      <c r="K32" s="137" t="n">
        <v>4328405.94</v>
      </c>
      <c r="L32" s="138" t="inlineStr">
        <is>
          <t>Hoja delivered. Alex received</t>
        </is>
      </c>
      <c r="M32" s="139" t="n"/>
      <c r="N32" s="139" t="n"/>
    </row>
    <row r="33" ht="27.75" customHeight="1" s="108">
      <c r="A33" s="140" t="inlineStr">
        <is>
          <t>17.02.2026</t>
        </is>
      </c>
      <c r="B33" s="140" t="inlineStr">
        <is>
          <t>Payment</t>
        </is>
      </c>
      <c r="C33" s="140" t="inlineStr">
        <is>
          <t>RSM Stone Forest — 7 invoices 8,596.35 SGD</t>
        </is>
      </c>
      <c r="D33" s="140" t="inlineStr">
        <is>
          <t>RSM STONE FOREST CORPSERVE PTE LTD</t>
        </is>
      </c>
      <c r="E33" s="141" t="inlineStr">
        <is>
          <t>SGD</t>
        </is>
      </c>
      <c r="F33" s="142" t="n">
        <v>8596.35</v>
      </c>
      <c r="G33" s="134" t="n">
        <v>1.2337</v>
      </c>
      <c r="H33" s="135" t="n">
        <v>6967.94</v>
      </c>
      <c r="I33" s="136" t="n">
        <v>0.005</v>
      </c>
      <c r="J33" s="135" t="n">
        <v>-7002.95</v>
      </c>
      <c r="K33" s="137" t="n">
        <v>4321402.99</v>
      </c>
      <c r="L33" s="138" t="inlineStr">
        <is>
          <t>Invs 1407-1411,1462,1549. SGD/AED 2.977</t>
        </is>
      </c>
      <c r="M33" s="139" t="inlineStr">
        <is>
          <t>ELITESPHERE</t>
        </is>
      </c>
      <c r="N33" s="139" t="inlineStr">
        <is>
          <t>Multiple SG entities</t>
        </is>
      </c>
    </row>
    <row r="34" ht="27.75" customHeight="1" s="108">
      <c r="A34" s="140" t="inlineStr">
        <is>
          <t>17.02.2026</t>
        </is>
      </c>
      <c r="B34" s="140" t="inlineStr">
        <is>
          <t>Payment</t>
        </is>
      </c>
      <c r="C34" s="140" t="inlineStr">
        <is>
          <t>Kinglet Ltd Cyprus — inv 014/02/2026 KYC services</t>
        </is>
      </c>
      <c r="D34" s="140" t="inlineStr">
        <is>
          <t>KINGLET LTD</t>
        </is>
      </c>
      <c r="E34" s="141" t="inlineStr">
        <is>
          <t>EUR</t>
        </is>
      </c>
      <c r="F34" s="142" t="n">
        <v>2800</v>
      </c>
      <c r="G34" s="134" t="n">
        <v>0.8434</v>
      </c>
      <c r="H34" s="135" t="n">
        <v>3319.9</v>
      </c>
      <c r="I34" s="136" t="n">
        <v>0.005</v>
      </c>
      <c r="J34" s="135" t="n">
        <v>-3336.58</v>
      </c>
      <c r="K34" s="137" t="n">
        <v>4318066.41</v>
      </c>
      <c r="L34" s="138" t="inlineStr">
        <is>
          <t>Gornik Trading. FT26047G4HBJ</t>
        </is>
      </c>
      <c r="M34" s="139" t="inlineStr">
        <is>
          <t>GORNIK TRADING</t>
        </is>
      </c>
      <c r="N34" s="139" t="inlineStr">
        <is>
          <t>GORNIK TRADING LTD</t>
        </is>
      </c>
    </row>
    <row r="35" ht="27.75" customHeight="1" s="108">
      <c r="A35" s="143" t="inlineStr">
        <is>
          <t>17.02.2026</t>
        </is>
      </c>
      <c r="B35" s="143" t="inlineStr">
        <is>
          <t>Cash Out</t>
        </is>
      </c>
      <c r="C35" s="143" t="inlineStr">
        <is>
          <t>1,178,000 INR. Harry salary</t>
        </is>
      </c>
      <c r="D35" s="143" t="inlineStr">
        <is>
          <t>Harry</t>
        </is>
      </c>
      <c r="E35" s="144" t="inlineStr">
        <is>
          <t>INR</t>
        </is>
      </c>
      <c r="F35" s="145" t="n">
        <v>1178000</v>
      </c>
      <c r="G35" s="134" t="n">
        <v>90.63</v>
      </c>
      <c r="H35" s="135" t="n">
        <v>12997.9</v>
      </c>
      <c r="I35" s="136" t="n">
        <v>0.005</v>
      </c>
      <c r="J35" s="135" t="n">
        <v>-13063.22</v>
      </c>
      <c r="K35" s="137" t="n">
        <v>4305003.19</v>
      </c>
      <c r="L35" s="138" t="inlineStr">
        <is>
          <t>In 17.02 balance stmt. No invoice/payee in chat. Clarify with agent.</t>
        </is>
      </c>
      <c r="M35" s="139" t="n"/>
      <c r="N35" s="139" t="n"/>
    </row>
    <row r="36" ht="27.75" customHeight="1" s="108">
      <c r="A36" s="143" t="inlineStr">
        <is>
          <t>17.02.2026</t>
        </is>
      </c>
      <c r="B36" s="143" t="inlineStr">
        <is>
          <t>Cash Out</t>
        </is>
      </c>
      <c r="C36" s="143" t="inlineStr">
        <is>
          <t>100,000 EUR ($120k). Pilots Monaco</t>
        </is>
      </c>
      <c r="D36" s="143" t="inlineStr">
        <is>
          <t>Pilots Monaco</t>
        </is>
      </c>
      <c r="E36" s="144" t="inlineStr">
        <is>
          <t>EUR</t>
        </is>
      </c>
      <c r="F36" s="145" t="n">
        <v>100000</v>
      </c>
      <c r="G36" s="134" t="n">
        <v>0.8354</v>
      </c>
      <c r="H36" s="135" t="n">
        <v>119703.14</v>
      </c>
      <c r="I36" s="136" t="n">
        <v>0.005</v>
      </c>
      <c r="J36" s="135" t="n">
        <v>-120304.66</v>
      </c>
      <c r="K36" s="137" t="n">
        <v>4184698.53</v>
      </c>
      <c r="L36" s="138" t="inlineStr">
        <is>
          <t>In 17.02 balance stmt. No invoice/payee in chat. Clarify with agent.</t>
        </is>
      </c>
      <c r="M36" s="139" t="n"/>
      <c r="N36" s="139" t="n"/>
    </row>
    <row r="37" ht="27.75" customHeight="1" s="108">
      <c r="A37" s="146" t="inlineStr">
        <is>
          <t>20.02.2026</t>
        </is>
      </c>
      <c r="B37" s="146" t="inlineStr">
        <is>
          <t>Cash In</t>
        </is>
      </c>
      <c r="C37" s="146" t="inlineStr">
        <is>
          <t>50,000 USD sent to agent — confirmed received 23.02</t>
        </is>
      </c>
      <c r="D37" s="146" t="inlineStr">
        <is>
          <t>(us)</t>
        </is>
      </c>
      <c r="E37" s="147" t="inlineStr">
        <is>
          <t>USD</t>
        </is>
      </c>
      <c r="F37" s="148" t="n">
        <v>50000</v>
      </c>
      <c r="G37" s="134" t="n">
        <v>1</v>
      </c>
      <c r="H37" s="135" t="n">
        <v>50000</v>
      </c>
      <c r="I37" s="136" t="n">
        <v>0</v>
      </c>
      <c r="J37" s="135" t="n">
        <v>50000</v>
      </c>
      <c r="K37" s="137" t="n">
        <v>4234698.53</v>
      </c>
      <c r="L37" s="138" t="inlineStr">
        <is>
          <t>Pacs.008 OR26022000001768. Hoja confirmed 23.02.2026</t>
        </is>
      </c>
      <c r="M37" s="139" t="n"/>
      <c r="N37" s="139" t="n"/>
    </row>
    <row r="38" ht="27.75" customHeight="1" s="108">
      <c r="A38" s="140" t="inlineStr">
        <is>
          <t>24.02.2026</t>
        </is>
      </c>
      <c r="B38" s="140" t="inlineStr">
        <is>
          <t>Payment</t>
        </is>
      </c>
      <c r="C38" s="140" t="inlineStr">
        <is>
          <t>BWB — RAKEZ inv 2053 HoN 4-company renewal</t>
        </is>
      </c>
      <c r="D38" s="140" t="inlineStr">
        <is>
          <t>BUSINESS WITHOUT BORDERS LLC</t>
        </is>
      </c>
      <c r="E38" s="141" t="inlineStr">
        <is>
          <t>AED</t>
        </is>
      </c>
      <c r="F38" s="142" t="n">
        <v>86520</v>
      </c>
      <c r="G38" s="134" t="n">
        <v>3.6725</v>
      </c>
      <c r="H38" s="135" t="n">
        <v>23558.88</v>
      </c>
      <c r="I38" s="136" t="n">
        <v>0.005</v>
      </c>
      <c r="J38" s="135" t="n">
        <v>-23677.27</v>
      </c>
      <c r="K38" s="137" t="n">
        <v>4211021.26</v>
      </c>
      <c r="L38" s="138" t="inlineStr">
        <is>
          <t>BALKEMY payer. NBAD→Emirates Islamic. FT260556HH32</t>
        </is>
      </c>
      <c r="M38" s="139" t="inlineStr">
        <is>
          <t>BALKEMY</t>
        </is>
      </c>
      <c r="N38" s="139" t="n"/>
    </row>
    <row r="39" ht="27.75" customHeight="1" s="108">
      <c r="A39" s="140" t="inlineStr">
        <is>
          <t>24.02.2026</t>
        </is>
      </c>
      <c r="B39" s="140" t="inlineStr">
        <is>
          <t>Payment</t>
        </is>
      </c>
      <c r="C39" s="140" t="inlineStr">
        <is>
          <t>BWB — RAKEZ inv 2054 Al Salaam Solutions renewal</t>
        </is>
      </c>
      <c r="D39" s="140" t="inlineStr">
        <is>
          <t>BUSINESS WITHOUT BORDERS LLC</t>
        </is>
      </c>
      <c r="E39" s="141" t="inlineStr">
        <is>
          <t>AED</t>
        </is>
      </c>
      <c r="F39" s="142" t="n">
        <v>66412.5</v>
      </c>
      <c r="G39" s="134" t="n">
        <v>3.6725</v>
      </c>
      <c r="H39" s="135" t="n">
        <v>18083.73</v>
      </c>
      <c r="I39" s="136" t="n">
        <v>0.005</v>
      </c>
      <c r="J39" s="135" t="n">
        <v>-18174.6</v>
      </c>
      <c r="K39" s="137" t="n">
        <v>4192846.66</v>
      </c>
      <c r="L39" s="138" t="inlineStr">
        <is>
          <t>BALKEMY payer. FT260554C5DC</t>
        </is>
      </c>
      <c r="M39" s="139" t="inlineStr">
        <is>
          <t>BALKEMY</t>
        </is>
      </c>
      <c r="N39" s="139" t="n"/>
    </row>
    <row r="40" ht="27.75" customHeight="1" s="108">
      <c r="A40" s="140" t="inlineStr">
        <is>
          <t>24.02.2026</t>
        </is>
      </c>
      <c r="B40" s="140" t="inlineStr">
        <is>
          <t>Payment</t>
        </is>
      </c>
      <c r="C40" s="140" t="inlineStr">
        <is>
          <t>BWB — IFZA inv 2075 share transfer Muhammed Fazal</t>
        </is>
      </c>
      <c r="D40" s="140" t="inlineStr">
        <is>
          <t>BUSINESS WITHOUT BORDERS LLC</t>
        </is>
      </c>
      <c r="E40" s="141" t="inlineStr">
        <is>
          <t>AED</t>
        </is>
      </c>
      <c r="F40" s="142" t="n">
        <v>13650</v>
      </c>
      <c r="G40" s="134" t="n">
        <v>3.6725</v>
      </c>
      <c r="H40" s="135" t="n">
        <v>3716.81</v>
      </c>
      <c r="I40" s="136" t="n">
        <v>0.005</v>
      </c>
      <c r="J40" s="135" t="n">
        <v>-3735.49</v>
      </c>
      <c r="K40" s="137" t="n">
        <v>4189111.17</v>
      </c>
      <c r="L40" s="138" t="inlineStr">
        <is>
          <t>BALKEMY payer. FT26055VFJC0</t>
        </is>
      </c>
      <c r="M40" s="139" t="inlineStr">
        <is>
          <t>BALKEMY</t>
        </is>
      </c>
      <c r="N40" s="139" t="n"/>
    </row>
    <row r="41" ht="27.75" customHeight="1" s="108">
      <c r="A41" s="146" t="inlineStr">
        <is>
          <t>24.02.2026</t>
        </is>
      </c>
      <c r="B41" s="146" t="inlineStr">
        <is>
          <t>Cash In</t>
        </is>
      </c>
      <c r="C41" s="146" t="inlineStr">
        <is>
          <t>50,000 USD sent to agent — confirmed received 25.02</t>
        </is>
      </c>
      <c r="D41" s="146" t="inlineStr">
        <is>
          <t>MAXIMUS WAY TRADING PTE LTD</t>
        </is>
      </c>
      <c r="E41" s="147" t="inlineStr">
        <is>
          <t>USD</t>
        </is>
      </c>
      <c r="F41" s="148" t="n">
        <v>150000</v>
      </c>
      <c r="G41" s="134" t="n">
        <v>1</v>
      </c>
      <c r="H41" s="135" t="n">
        <v>150000</v>
      </c>
      <c r="I41" s="136" t="n">
        <v>0</v>
      </c>
      <c r="J41" s="135" t="n">
        <v>150000</v>
      </c>
      <c r="K41" s="137" t="n">
        <v>4339111.17</v>
      </c>
      <c r="L41" s="138" t="inlineStr">
        <is>
          <t>Pacs.008 OR26022400002178. Agent confirmed 25.02.2026 ('Поступление подтверждаем'). Recipient: MAXIMUS WAY TRADING PTE LTD. Myanmar.</t>
        </is>
      </c>
      <c r="M41" s="139" t="n"/>
      <c r="N41" s="139" t="n"/>
    </row>
    <row r="42" ht="27.75" customHeight="1" s="108">
      <c r="A42" s="140" t="inlineStr">
        <is>
          <t>25.02.2026</t>
        </is>
      </c>
      <c r="B42" s="140" t="inlineStr">
        <is>
          <t>Payment</t>
        </is>
      </c>
      <c r="C42" s="140" t="inlineStr">
        <is>
          <t>INV 4410 — 5YZ W L L-2 (invoice 1,980 BHD, paid in AED)</t>
        </is>
      </c>
      <c r="D42" s="140" t="inlineStr">
        <is>
          <t>5YZ W L L-2</t>
        </is>
      </c>
      <c r="E42" s="141" t="inlineStr">
        <is>
          <t>AED</t>
        </is>
      </c>
      <c r="F42" s="142" t="n">
        <v>19502.1</v>
      </c>
      <c r="G42" s="134" t="n">
        <v>3.6725</v>
      </c>
      <c r="H42" s="135" t="n">
        <v>5310.31</v>
      </c>
      <c r="I42" s="136" t="n">
        <v>0.005</v>
      </c>
      <c r="J42" s="135" t="n">
        <v>-5336.99</v>
      </c>
      <c r="K42" s="137" t="n">
        <v>4333774.18</v>
      </c>
      <c r="L42" s="138" t="inlineStr">
        <is>
          <t>Original invoice in 1,980 BHD. Agent paid in AED. SWIFT confirmed.</t>
        </is>
      </c>
      <c r="M42" s="139" t="inlineStr">
        <is>
          <t>BALKEMY</t>
        </is>
      </c>
      <c r="N42" s="139" t="inlineStr">
        <is>
          <t>BALKEMY GENERAL TRADING</t>
        </is>
      </c>
    </row>
    <row r="43" ht="27.75" customHeight="1" s="108">
      <c r="A43" s="149" t="inlineStr">
        <is>
          <t>25.02.2026</t>
        </is>
      </c>
      <c r="B43" s="149" t="inlineStr">
        <is>
          <t>Cash In</t>
        </is>
      </c>
      <c r="C43" s="150" t="inlineStr">
        <is>
          <t>Cash delivered to agent in Singapore</t>
        </is>
      </c>
      <c r="D43" s="149" t="inlineStr">
        <is>
          <t>AGENT (Singapore)</t>
        </is>
      </c>
      <c r="E43" s="149" t="inlineStr">
        <is>
          <t>SGD</t>
        </is>
      </c>
      <c r="F43" s="151" t="n">
        <v>110000</v>
      </c>
      <c r="G43" s="134" t="n">
        <v>1</v>
      </c>
      <c r="H43" s="152" t="n">
        <v>110000</v>
      </c>
      <c r="I43" s="136" t="n">
        <v>0</v>
      </c>
      <c r="J43" s="152" t="n">
        <v>110000</v>
      </c>
      <c r="K43" s="153" t="n">
        <v>4443774.18</v>
      </c>
      <c r="L43" s="150" t="inlineStr">
        <is>
          <t>SGD cash handed to agent in Singapore, rate 1:1 to USD</t>
        </is>
      </c>
      <c r="M43" s="154" t="n"/>
      <c r="N43" s="154" t="n"/>
    </row>
    <row r="44" ht="28" customHeight="1" s="108">
      <c r="A44" s="155" t="inlineStr">
        <is>
          <t>27.02.2026</t>
        </is>
      </c>
      <c r="B44" s="155" t="inlineStr">
        <is>
          <t>Payment</t>
        </is>
      </c>
      <c r="C44" s="156" t="inlineStr">
        <is>
          <t>DNMUW-487333+562223+563799 — DUBAI INSURANCE COMPANY</t>
        </is>
      </c>
      <c r="D44" s="155" t="inlineStr">
        <is>
          <t>DUBAI INSURANCE COMPANY</t>
        </is>
      </c>
      <c r="E44" s="155" t="inlineStr">
        <is>
          <t>AED</t>
        </is>
      </c>
      <c r="F44" s="157" t="n">
        <v>197334.74</v>
      </c>
      <c r="G44" s="158" t="n">
        <v>3.6725</v>
      </c>
      <c r="H44" s="159" t="n">
        <v>53733.08</v>
      </c>
      <c r="I44" s="160" t="n">
        <v>0.005</v>
      </c>
      <c r="J44" s="159" t="n">
        <v>-54003.1</v>
      </c>
      <c r="K44" s="161" t="n">
        <v>4389771.08</v>
      </c>
      <c r="L44" s="156" t="inlineStr">
        <is>
          <t>Автозапись из инвойса (SWIFT) | ref: 1208172</t>
        </is>
      </c>
    </row>
    <row r="45" ht="28" customHeight="1" s="108">
      <c r="A45" s="155" t="inlineStr">
        <is>
          <t>27.02.2026</t>
        </is>
      </c>
      <c r="B45" s="155" t="inlineStr">
        <is>
          <t>Payment</t>
        </is>
      </c>
      <c r="C45" s="156" t="inlineStr">
        <is>
          <t>D-01-25-25172+D-01-26-01144 — ORIENT INSURANCE</t>
        </is>
      </c>
      <c r="D45" s="155" t="inlineStr">
        <is>
          <t>ORIENT INSURANCE</t>
        </is>
      </c>
      <c r="E45" s="155" t="inlineStr">
        <is>
          <t>AED</t>
        </is>
      </c>
      <c r="F45" s="157" t="n">
        <v>17799.36</v>
      </c>
      <c r="G45" s="158" t="n">
        <v>3.6725</v>
      </c>
      <c r="H45" s="159" t="n">
        <v>4846.66</v>
      </c>
      <c r="I45" s="160" t="n">
        <v>0.005</v>
      </c>
      <c r="J45" s="159" t="n">
        <v>-4871.02</v>
      </c>
      <c r="K45" s="161" t="n">
        <v>4384900.06</v>
      </c>
      <c r="L45" s="156" t="inlineStr">
        <is>
          <t>Автозапись из инвойса (SWIFT) | ref: 1208194</t>
        </is>
      </c>
    </row>
    <row r="46" ht="28" customHeight="1" s="108">
      <c r="A46" s="155" t="inlineStr">
        <is>
          <t>27.02.2026</t>
        </is>
      </c>
      <c r="B46" s="155" t="inlineStr">
        <is>
          <t>Payment</t>
        </is>
      </c>
      <c r="C46" s="156" t="inlineStr">
        <is>
          <t>FTIV000638 — BERNARD</t>
        </is>
      </c>
      <c r="D46" s="155" t="inlineStr">
        <is>
          <t>BERNARD</t>
        </is>
      </c>
      <c r="E46" s="155" t="inlineStr">
        <is>
          <t>AED</t>
        </is>
      </c>
      <c r="F46" s="157" t="n">
        <v>14988.6</v>
      </c>
      <c r="G46" s="158" t="n">
        <v>3.6725</v>
      </c>
      <c r="H46" s="159" t="n">
        <v>4081.31</v>
      </c>
      <c r="I46" s="160" t="n">
        <v>0.005</v>
      </c>
      <c r="J46" s="159" t="n">
        <v>-4101.82</v>
      </c>
      <c r="K46" s="161" t="n">
        <v>4380798.24</v>
      </c>
      <c r="L46" s="156" t="inlineStr">
        <is>
          <t>Автозапись из инвойса (SWIFT) | ref: 1208205</t>
        </is>
      </c>
    </row>
    <row r="47" ht="28" customHeight="1" s="108">
      <c r="A47" s="155" t="inlineStr">
        <is>
          <t>27.02.2026</t>
        </is>
      </c>
      <c r="B47" s="155" t="inlineStr">
        <is>
          <t>Payment</t>
        </is>
      </c>
      <c r="C47" s="156" t="inlineStr">
        <is>
          <t>PoF SOA dd 2026-02-09 — MENA TERMINALS FUJAIRAH LLC FZC</t>
        </is>
      </c>
      <c r="D47" s="155" t="inlineStr">
        <is>
          <t>MENA TERMINALS FUJAIRAH LLC FZC</t>
        </is>
      </c>
      <c r="E47" s="155" t="inlineStr">
        <is>
          <t>AED</t>
        </is>
      </c>
      <c r="F47" s="157" t="n">
        <v>13865.24</v>
      </c>
      <c r="G47" s="158" t="n">
        <v>3.6725</v>
      </c>
      <c r="H47" s="159" t="n">
        <v>3775.42</v>
      </c>
      <c r="I47" s="160" t="n">
        <v>0.005</v>
      </c>
      <c r="J47" s="159" t="n">
        <v>-3794.39</v>
      </c>
      <c r="K47" s="161" t="n">
        <v>4377003.85</v>
      </c>
      <c r="L47" s="156" t="inlineStr">
        <is>
          <t>Автозапись из инвойса (SWIFT) | ref: 1208212</t>
        </is>
      </c>
    </row>
    <row r="48" ht="28" customHeight="1" s="108">
      <c r="A48" s="155" t="inlineStr">
        <is>
          <t>26.02.2026</t>
        </is>
      </c>
      <c r="B48" s="155" t="inlineStr">
        <is>
          <t>Payment</t>
        </is>
      </c>
      <c r="C48" s="156" t="inlineStr">
        <is>
          <t>GP Shipping batch — GOOD PARTNER SHIPPING CO LTD (KR)</t>
        </is>
      </c>
      <c r="D48" s="155" t="inlineStr">
        <is>
          <t>GOOD PARTNER SHIPPING CO LTD (KR)</t>
        </is>
      </c>
      <c r="E48" s="155" t="inlineStr">
        <is>
          <t>USD</t>
        </is>
      </c>
      <c r="F48" s="157" t="n">
        <v>19024.13</v>
      </c>
      <c r="G48" s="158" t="n">
        <v>1</v>
      </c>
      <c r="H48" s="159" t="n">
        <v>19024.13</v>
      </c>
      <c r="I48" s="160" t="n">
        <v>0.005</v>
      </c>
      <c r="J48" s="159" t="n">
        <v>-19119.73</v>
      </c>
      <c r="K48" s="161" t="n">
        <v>4357884.12</v>
      </c>
      <c r="L48" s="156" t="inlineStr">
        <is>
          <t>Автозапись из инвойса (SWIFT) | ref: FT26057CT3T4</t>
        </is>
      </c>
    </row>
    <row r="49" ht="27.75" customHeight="1" s="108">
      <c r="A49" s="140" t="n"/>
      <c r="B49" s="140" t="n"/>
      <c r="C49" s="140" t="n"/>
      <c r="D49" s="140" t="n"/>
      <c r="E49" s="141" t="n"/>
      <c r="F49" s="142" t="n"/>
      <c r="G49" s="134" t="n"/>
      <c r="H49" s="135" t="n"/>
      <c r="I49" s="136" t="n"/>
      <c r="J49" s="135" t="n"/>
      <c r="K49" s="137" t="n"/>
      <c r="L49" s="138" t="n"/>
    </row>
    <row r="50" ht="27.75" customHeight="1" s="108">
      <c r="A50" s="140" t="n"/>
      <c r="B50" s="140" t="n"/>
      <c r="C50" s="140" t="n"/>
      <c r="D50" s="140" t="n"/>
      <c r="E50" s="141" t="n"/>
      <c r="F50" s="142" t="n"/>
      <c r="G50" s="134" t="n"/>
      <c r="H50" s="135" t="n"/>
      <c r="I50" s="136" t="n"/>
      <c r="J50" s="135" t="n"/>
      <c r="K50" s="137" t="n"/>
      <c r="L50" s="138" t="n"/>
    </row>
    <row r="51" ht="27.75" customHeight="1" s="108">
      <c r="A51" s="140" t="n"/>
      <c r="B51" s="140" t="n"/>
      <c r="C51" s="140" t="n"/>
      <c r="D51" s="140" t="n"/>
      <c r="E51" s="141" t="n"/>
      <c r="F51" s="142" t="n"/>
      <c r="G51" s="134" t="n"/>
      <c r="H51" s="135" t="n"/>
      <c r="I51" s="136" t="n"/>
      <c r="J51" s="135" t="n"/>
      <c r="K51" s="137" t="n"/>
      <c r="L51" s="138" t="n"/>
    </row>
    <row r="52" ht="27.75" customHeight="1" s="108">
      <c r="A52" s="140" t="n"/>
      <c r="B52" s="140" t="n"/>
      <c r="C52" s="140" t="n"/>
      <c r="D52" s="140" t="n"/>
      <c r="E52" s="141" t="n"/>
      <c r="F52" s="142" t="n"/>
      <c r="G52" s="134" t="n"/>
      <c r="H52" s="135" t="n"/>
      <c r="I52" s="136" t="n"/>
      <c r="J52" s="135" t="n"/>
      <c r="K52" s="137" t="n"/>
      <c r="L52" s="138" t="n"/>
    </row>
    <row r="53" ht="27.75" customHeight="1" s="108">
      <c r="A53" s="140" t="n"/>
      <c r="B53" s="140" t="n"/>
      <c r="C53" s="140" t="n"/>
      <c r="D53" s="140" t="n"/>
      <c r="E53" s="141" t="n"/>
      <c r="F53" s="142" t="n"/>
      <c r="G53" s="134" t="n"/>
      <c r="H53" s="135" t="n"/>
      <c r="I53" s="136" t="n"/>
      <c r="J53" s="135" t="n"/>
      <c r="K53" s="137" t="n"/>
      <c r="L53" s="138" t="n"/>
    </row>
    <row r="54" ht="27.75" customHeight="1" s="108">
      <c r="A54" s="140" t="n"/>
      <c r="B54" s="140" t="n"/>
      <c r="C54" s="140" t="n"/>
      <c r="D54" s="140" t="n"/>
      <c r="E54" s="141" t="n"/>
      <c r="F54" s="142" t="n"/>
      <c r="G54" s="134" t="n"/>
      <c r="H54" s="135" t="n"/>
      <c r="I54" s="136" t="n"/>
      <c r="J54" s="135" t="n"/>
      <c r="K54" s="137" t="n"/>
      <c r="L54" s="138" t="n"/>
    </row>
    <row r="55" ht="27.75" customHeight="1" s="108">
      <c r="A55" s="140" t="n"/>
      <c r="B55" s="140" t="n"/>
      <c r="C55" s="140" t="n"/>
      <c r="D55" s="140" t="n"/>
      <c r="E55" s="141" t="n"/>
      <c r="F55" s="142" t="n"/>
      <c r="G55" s="134" t="n"/>
      <c r="H55" s="135" t="n"/>
      <c r="I55" s="136" t="n"/>
      <c r="J55" s="135" t="n"/>
      <c r="K55" s="137" t="n"/>
      <c r="L55" s="138" t="n"/>
    </row>
    <row r="56" ht="27.75" customHeight="1" s="108">
      <c r="A56" s="140" t="n"/>
      <c r="B56" s="140" t="n"/>
      <c r="C56" s="140" t="n"/>
      <c r="D56" s="140" t="n"/>
      <c r="E56" s="141" t="n"/>
      <c r="F56" s="142" t="n"/>
      <c r="G56" s="134" t="n"/>
      <c r="H56" s="135" t="n"/>
      <c r="I56" s="136" t="n"/>
      <c r="J56" s="135" t="n"/>
      <c r="K56" s="137" t="n"/>
      <c r="L56" s="138" t="n"/>
    </row>
    <row r="57" ht="27.75" customHeight="1" s="108">
      <c r="A57" s="140" t="n"/>
      <c r="B57" s="140" t="n"/>
      <c r="C57" s="140" t="n"/>
      <c r="D57" s="140" t="n"/>
      <c r="E57" s="141" t="n"/>
      <c r="F57" s="142" t="n"/>
      <c r="G57" s="134" t="n"/>
      <c r="H57" s="135" t="n"/>
      <c r="I57" s="136" t="n"/>
      <c r="J57" s="135" t="n"/>
      <c r="K57" s="137" t="n"/>
      <c r="L57" s="138" t="n"/>
    </row>
    <row r="58" ht="27.75" customHeight="1" s="108">
      <c r="A58" s="140" t="n"/>
      <c r="B58" s="140" t="n"/>
      <c r="C58" s="140" t="n"/>
      <c r="D58" s="140" t="n"/>
      <c r="E58" s="141" t="n"/>
      <c r="F58" s="142" t="n"/>
      <c r="G58" s="134" t="n"/>
      <c r="H58" s="135" t="n"/>
      <c r="I58" s="136" t="n"/>
      <c r="J58" s="135" t="n"/>
      <c r="K58" s="137" t="n"/>
      <c r="L58" s="138" t="n"/>
    </row>
    <row r="59" ht="27.75" customHeight="1" s="108">
      <c r="A59" s="140" t="n"/>
      <c r="B59" s="140" t="n"/>
      <c r="C59" s="140" t="n"/>
      <c r="D59" s="140" t="n"/>
      <c r="E59" s="141" t="n"/>
      <c r="F59" s="142" t="n"/>
      <c r="G59" s="134" t="n"/>
      <c r="H59" s="135" t="n"/>
      <c r="I59" s="136" t="n"/>
      <c r="J59" s="135" t="n"/>
      <c r="K59" s="137" t="n"/>
      <c r="L59" s="138" t="n"/>
    </row>
    <row r="60" ht="27.75" customHeight="1" s="108">
      <c r="A60" s="140" t="n"/>
      <c r="B60" s="140" t="n"/>
      <c r="C60" s="140" t="n"/>
      <c r="D60" s="140" t="n"/>
      <c r="E60" s="141" t="n"/>
      <c r="F60" s="142" t="n"/>
      <c r="G60" s="134" t="n"/>
      <c r="H60" s="135" t="n"/>
      <c r="I60" s="136" t="n"/>
      <c r="J60" s="135" t="n"/>
      <c r="K60" s="137" t="n"/>
      <c r="L60" s="138" t="n"/>
    </row>
    <row r="61" ht="27.75" customHeight="1" s="108">
      <c r="A61" s="140" t="n"/>
      <c r="B61" s="140" t="n"/>
      <c r="C61" s="140" t="n"/>
      <c r="D61" s="140" t="n"/>
      <c r="E61" s="141" t="n"/>
      <c r="F61" s="142" t="n"/>
      <c r="G61" s="134" t="n"/>
      <c r="H61" s="135" t="n"/>
      <c r="I61" s="136" t="n"/>
      <c r="J61" s="135" t="n"/>
      <c r="K61" s="137" t="n"/>
      <c r="L61" s="138" t="n"/>
    </row>
    <row r="62" ht="27.75" customHeight="1" s="108">
      <c r="A62" s="140" t="n"/>
      <c r="B62" s="140" t="n"/>
      <c r="C62" s="140" t="n"/>
      <c r="D62" s="140" t="n"/>
      <c r="E62" s="141" t="n"/>
      <c r="F62" s="142" t="n"/>
      <c r="G62" s="134" t="n"/>
      <c r="H62" s="135" t="n"/>
      <c r="I62" s="136" t="n"/>
      <c r="J62" s="135" t="n"/>
      <c r="K62" s="137" t="n"/>
      <c r="L62" s="138" t="n"/>
    </row>
    <row r="63" ht="27.75" customHeight="1" s="108">
      <c r="A63" s="140" t="n"/>
      <c r="B63" s="140" t="n"/>
      <c r="C63" s="140" t="n"/>
      <c r="D63" s="140" t="n"/>
      <c r="E63" s="141" t="n"/>
      <c r="F63" s="142" t="n"/>
      <c r="G63" s="134" t="n"/>
      <c r="H63" s="135" t="n"/>
      <c r="I63" s="136" t="n"/>
      <c r="J63" s="135" t="n"/>
      <c r="K63" s="137" t="n"/>
      <c r="L63" s="138" t="n"/>
    </row>
    <row r="64" ht="27.75" customHeight="1" s="108">
      <c r="A64" s="140" t="n"/>
      <c r="B64" s="140" t="n"/>
      <c r="C64" s="140" t="n"/>
      <c r="D64" s="140" t="n"/>
      <c r="E64" s="141" t="n"/>
      <c r="F64" s="142" t="n"/>
      <c r="G64" s="134" t="n"/>
      <c r="H64" s="135" t="n"/>
      <c r="I64" s="136" t="n"/>
      <c r="J64" s="135" t="n"/>
      <c r="K64" s="137" t="n"/>
      <c r="L64" s="138" t="n"/>
    </row>
    <row r="65" ht="27.75" customHeight="1" s="108">
      <c r="A65" s="140" t="n"/>
      <c r="B65" s="140" t="n"/>
      <c r="C65" s="140" t="n"/>
      <c r="D65" s="140" t="n"/>
      <c r="E65" s="141" t="n"/>
      <c r="F65" s="142" t="n"/>
      <c r="G65" s="134" t="n"/>
      <c r="H65" s="135" t="n"/>
      <c r="I65" s="136" t="n"/>
      <c r="J65" s="135" t="n"/>
      <c r="K65" s="137" t="n"/>
      <c r="L65" s="138" t="n"/>
    </row>
    <row r="66" ht="27.75" customHeight="1" s="108">
      <c r="A66" s="140" t="n"/>
      <c r="B66" s="140" t="n"/>
      <c r="C66" s="140" t="n"/>
      <c r="D66" s="140" t="n"/>
      <c r="E66" s="141" t="n"/>
      <c r="F66" s="142" t="n"/>
      <c r="G66" s="134" t="n"/>
      <c r="H66" s="135" t="n"/>
      <c r="I66" s="136" t="n"/>
      <c r="J66" s="135" t="n"/>
      <c r="K66" s="137" t="n"/>
      <c r="L66" s="138" t="n"/>
    </row>
    <row r="67" ht="27.75" customHeight="1" s="108">
      <c r="A67" s="140" t="n"/>
      <c r="B67" s="140" t="n"/>
      <c r="C67" s="140" t="n"/>
      <c r="D67" s="140" t="n"/>
      <c r="E67" s="141" t="n"/>
      <c r="F67" s="142" t="n"/>
      <c r="G67" s="134" t="n"/>
      <c r="H67" s="135" t="n"/>
      <c r="I67" s="136" t="n"/>
      <c r="J67" s="135" t="n"/>
      <c r="K67" s="137" t="n"/>
      <c r="L67" s="138" t="n"/>
    </row>
    <row r="68" ht="27.75" customHeight="1" s="108">
      <c r="A68" s="140" t="n"/>
      <c r="B68" s="140" t="n"/>
      <c r="C68" s="140" t="n"/>
      <c r="D68" s="140" t="n"/>
      <c r="E68" s="141" t="n"/>
      <c r="F68" s="142" t="n"/>
      <c r="G68" s="134" t="n"/>
      <c r="H68" s="135" t="n"/>
      <c r="I68" s="136" t="n"/>
      <c r="J68" s="135" t="n"/>
      <c r="K68" s="137" t="n"/>
      <c r="L68" s="138" t="n"/>
    </row>
    <row r="69" ht="27.75" customHeight="1" s="108">
      <c r="A69" s="140" t="n"/>
      <c r="B69" s="140" t="n"/>
      <c r="C69" s="140" t="n"/>
      <c r="D69" s="140" t="n"/>
      <c r="E69" s="141" t="n"/>
      <c r="F69" s="142" t="n"/>
      <c r="G69" s="134" t="n"/>
      <c r="H69" s="135" t="n"/>
      <c r="I69" s="136" t="n"/>
      <c r="J69" s="135" t="n"/>
      <c r="K69" s="137" t="n"/>
      <c r="L69" s="138" t="n"/>
    </row>
    <row r="70" ht="27.75" customHeight="1" s="108">
      <c r="A70" s="140" t="n"/>
      <c r="B70" s="140" t="n"/>
      <c r="C70" s="140" t="n"/>
      <c r="D70" s="140" t="n"/>
      <c r="E70" s="141" t="n"/>
      <c r="F70" s="142" t="n"/>
      <c r="G70" s="134" t="n"/>
      <c r="H70" s="135" t="n"/>
      <c r="I70" s="136" t="n"/>
      <c r="J70" s="135" t="n"/>
      <c r="K70" s="137" t="n"/>
      <c r="L70" s="138" t="n"/>
    </row>
    <row r="71" ht="27.75" customHeight="1" s="108">
      <c r="A71" s="140" t="n"/>
      <c r="B71" s="140" t="n"/>
      <c r="C71" s="140" t="n"/>
      <c r="D71" s="140" t="n"/>
      <c r="E71" s="141" t="n"/>
      <c r="F71" s="142" t="n"/>
      <c r="G71" s="134" t="n"/>
      <c r="H71" s="135" t="n"/>
      <c r="I71" s="136" t="n"/>
      <c r="J71" s="135" t="n"/>
      <c r="K71" s="137" t="n"/>
      <c r="L71" s="138" t="n"/>
    </row>
    <row r="72" ht="27.75" customHeight="1" s="108">
      <c r="A72" s="140" t="n"/>
      <c r="B72" s="140" t="n"/>
      <c r="C72" s="140" t="n"/>
      <c r="D72" s="140" t="n"/>
      <c r="E72" s="141" t="n"/>
      <c r="F72" s="142" t="n"/>
      <c r="G72" s="134" t="n"/>
      <c r="H72" s="135" t="n"/>
      <c r="I72" s="136" t="n"/>
      <c r="J72" s="135" t="n"/>
      <c r="K72" s="137" t="n"/>
      <c r="L72" s="138" t="n"/>
    </row>
    <row r="73" ht="27.75" customHeight="1" s="108">
      <c r="A73" s="140" t="n"/>
      <c r="B73" s="140" t="n"/>
      <c r="C73" s="140" t="n"/>
      <c r="D73" s="140" t="n"/>
      <c r="E73" s="141" t="n"/>
      <c r="F73" s="142" t="n"/>
      <c r="G73" s="134" t="n"/>
      <c r="H73" s="135" t="n"/>
      <c r="I73" s="136" t="n"/>
      <c r="J73" s="135" t="n"/>
      <c r="K73" s="137" t="n"/>
      <c r="L73" s="138" t="n"/>
    </row>
    <row r="74" ht="27.75" customHeight="1" s="108">
      <c r="A74" s="140" t="n"/>
      <c r="B74" s="140" t="n"/>
      <c r="C74" s="140" t="n"/>
      <c r="D74" s="140" t="n"/>
      <c r="E74" s="141" t="n"/>
      <c r="F74" s="142" t="n"/>
      <c r="G74" s="134" t="n"/>
      <c r="H74" s="135" t="n"/>
      <c r="I74" s="136" t="n"/>
      <c r="J74" s="135" t="n"/>
      <c r="K74" s="137" t="n"/>
      <c r="L74" s="138" t="n"/>
    </row>
    <row r="75" ht="27.75" customHeight="1" s="108">
      <c r="A75" s="140" t="n"/>
      <c r="B75" s="140" t="n"/>
      <c r="C75" s="140" t="n"/>
      <c r="D75" s="140" t="n"/>
      <c r="E75" s="141" t="n"/>
      <c r="F75" s="142" t="n"/>
      <c r="G75" s="134" t="n"/>
      <c r="H75" s="135" t="n"/>
      <c r="I75" s="136" t="n"/>
      <c r="J75" s="135" t="n"/>
      <c r="K75" s="137" t="n"/>
      <c r="L75" s="138" t="n"/>
    </row>
    <row r="76" ht="27.75" customHeight="1" s="108">
      <c r="A76" s="140" t="n"/>
      <c r="B76" s="140" t="n"/>
      <c r="C76" s="140" t="n"/>
      <c r="D76" s="140" t="n"/>
      <c r="E76" s="141" t="n"/>
      <c r="F76" s="142" t="n"/>
      <c r="G76" s="134" t="n"/>
      <c r="H76" s="135" t="n"/>
      <c r="I76" s="136" t="n"/>
      <c r="J76" s="135" t="n"/>
      <c r="K76" s="137" t="n"/>
      <c r="L76" s="138" t="n"/>
    </row>
    <row r="77" ht="27.75" customHeight="1" s="108">
      <c r="A77" s="140" t="n"/>
      <c r="B77" s="140" t="n"/>
      <c r="C77" s="140" t="n"/>
      <c r="D77" s="140" t="n"/>
      <c r="E77" s="141" t="n"/>
      <c r="F77" s="142" t="n"/>
      <c r="G77" s="134" t="n"/>
      <c r="H77" s="135" t="n"/>
      <c r="I77" s="136" t="n"/>
      <c r="J77" s="135" t="n"/>
      <c r="K77" s="137" t="n"/>
      <c r="L77" s="138" t="n"/>
    </row>
    <row r="78" ht="27.75" customHeight="1" s="108">
      <c r="A78" s="140" t="n"/>
      <c r="B78" s="140" t="n"/>
      <c r="C78" s="140" t="n"/>
      <c r="D78" s="140" t="n"/>
      <c r="E78" s="141" t="n"/>
      <c r="F78" s="142" t="n"/>
      <c r="G78" s="134" t="n"/>
      <c r="H78" s="135" t="n"/>
      <c r="I78" s="136" t="n"/>
      <c r="J78" s="135" t="n"/>
      <c r="K78" s="137" t="n"/>
      <c r="L78" s="138" t="n"/>
    </row>
    <row r="79" ht="27.75" customHeight="1" s="108">
      <c r="A79" s="140" t="n"/>
      <c r="B79" s="140" t="n"/>
      <c r="C79" s="140" t="n"/>
      <c r="D79" s="140" t="n"/>
      <c r="E79" s="141" t="n"/>
      <c r="F79" s="142" t="n"/>
      <c r="G79" s="134" t="n"/>
      <c r="H79" s="135" t="n"/>
      <c r="I79" s="136" t="n"/>
      <c r="J79" s="135" t="n"/>
      <c r="K79" s="137" t="n"/>
      <c r="L79" s="138" t="n"/>
    </row>
    <row r="80" ht="27.75" customHeight="1" s="108">
      <c r="A80" s="140" t="n"/>
      <c r="B80" s="140" t="n"/>
      <c r="C80" s="140" t="n"/>
      <c r="D80" s="140" t="n"/>
      <c r="E80" s="141" t="n"/>
      <c r="F80" s="142" t="n"/>
      <c r="G80" s="134" t="n"/>
      <c r="H80" s="135" t="n"/>
      <c r="I80" s="136" t="n"/>
      <c r="J80" s="135" t="n"/>
      <c r="K80" s="137" t="n"/>
      <c r="L80" s="138" t="n"/>
    </row>
    <row r="81" ht="27.75" customHeight="1" s="108">
      <c r="A81" s="140" t="n"/>
      <c r="B81" s="140" t="n"/>
      <c r="C81" s="140" t="n"/>
      <c r="D81" s="140" t="n"/>
      <c r="E81" s="141" t="n"/>
      <c r="F81" s="142" t="n"/>
      <c r="G81" s="134" t="n"/>
      <c r="H81" s="135" t="n"/>
      <c r="I81" s="136" t="n"/>
      <c r="J81" s="135" t="n"/>
      <c r="K81" s="137" t="n"/>
      <c r="L81" s="138" t="n"/>
    </row>
    <row r="82" ht="27.75" customHeight="1" s="108">
      <c r="A82" s="140" t="n"/>
      <c r="B82" s="140" t="n"/>
      <c r="C82" s="140" t="n"/>
      <c r="D82" s="140" t="n"/>
      <c r="E82" s="141" t="n"/>
      <c r="F82" s="142" t="n"/>
      <c r="G82" s="134" t="n"/>
      <c r="H82" s="135" t="n"/>
      <c r="I82" s="136" t="n"/>
      <c r="J82" s="135" t="n"/>
      <c r="K82" s="137" t="n"/>
      <c r="L82" s="138" t="n"/>
    </row>
    <row r="83" ht="27.75" customHeight="1" s="108">
      <c r="A83" s="140" t="n"/>
      <c r="B83" s="140" t="n"/>
      <c r="C83" s="140" t="n"/>
      <c r="D83" s="140" t="n"/>
      <c r="E83" s="141" t="n"/>
      <c r="F83" s="142" t="n"/>
      <c r="G83" s="134" t="n"/>
      <c r="H83" s="135" t="n"/>
      <c r="I83" s="136" t="n"/>
      <c r="J83" s="135" t="n"/>
      <c r="K83" s="137" t="n"/>
      <c r="L83" s="138" t="n"/>
    </row>
    <row r="84" ht="27.75" customHeight="1" s="108">
      <c r="A84" s="140" t="n"/>
      <c r="B84" s="140" t="n"/>
      <c r="C84" s="140" t="n"/>
      <c r="D84" s="140" t="n"/>
      <c r="E84" s="141" t="n"/>
      <c r="F84" s="142" t="n"/>
      <c r="G84" s="134" t="n"/>
      <c r="H84" s="135" t="n"/>
      <c r="I84" s="136" t="n"/>
      <c r="J84" s="135" t="n"/>
      <c r="K84" s="137" t="n"/>
      <c r="L84" s="138" t="n"/>
    </row>
    <row r="85" ht="27.75" customHeight="1" s="108">
      <c r="A85" s="140" t="n"/>
      <c r="B85" s="140" t="n"/>
      <c r="C85" s="140" t="n"/>
      <c r="D85" s="140" t="n"/>
      <c r="E85" s="141" t="n"/>
      <c r="F85" s="142" t="n"/>
      <c r="G85" s="134" t="n"/>
      <c r="H85" s="135" t="n"/>
      <c r="I85" s="136" t="n"/>
      <c r="J85" s="135" t="n"/>
      <c r="K85" s="137" t="n"/>
      <c r="L85" s="138" t="n"/>
    </row>
    <row r="86" ht="27.75" customHeight="1" s="108">
      <c r="A86" s="140" t="n"/>
      <c r="B86" s="140" t="n"/>
      <c r="C86" s="140" t="n"/>
      <c r="D86" s="140" t="n"/>
      <c r="E86" s="141" t="n"/>
      <c r="F86" s="142" t="n"/>
      <c r="G86" s="134" t="n"/>
      <c r="H86" s="135" t="n"/>
      <c r="I86" s="136" t="n"/>
      <c r="J86" s="135" t="n"/>
      <c r="K86" s="137" t="n"/>
      <c r="L86" s="138" t="n"/>
    </row>
    <row r="87" ht="27.75" customHeight="1" s="108">
      <c r="A87" s="140" t="n"/>
      <c r="B87" s="140" t="n"/>
      <c r="C87" s="140" t="n"/>
      <c r="D87" s="140" t="n"/>
      <c r="E87" s="141" t="n"/>
      <c r="F87" s="142" t="n"/>
      <c r="G87" s="134" t="n"/>
      <c r="H87" s="135" t="n"/>
      <c r="I87" s="136" t="n"/>
      <c r="J87" s="135" t="n"/>
      <c r="K87" s="137" t="n"/>
      <c r="L87" s="138" t="n"/>
    </row>
    <row r="88" ht="27.75" customHeight="1" s="108">
      <c r="A88" s="140" t="n"/>
      <c r="B88" s="140" t="n"/>
      <c r="C88" s="140" t="n"/>
      <c r="D88" s="140" t="n"/>
      <c r="E88" s="141" t="n"/>
      <c r="F88" s="142" t="n"/>
      <c r="G88" s="134" t="n"/>
      <c r="H88" s="135" t="n"/>
      <c r="I88" s="136" t="n"/>
      <c r="J88" s="135" t="n"/>
      <c r="K88" s="137" t="n"/>
      <c r="L88" s="138" t="n"/>
    </row>
    <row r="89" ht="27.75" customHeight="1" s="108">
      <c r="A89" s="140" t="n"/>
      <c r="B89" s="140" t="n"/>
      <c r="C89" s="140" t="n"/>
      <c r="D89" s="140" t="n"/>
      <c r="E89" s="141" t="n"/>
      <c r="F89" s="142" t="n"/>
      <c r="G89" s="134" t="n"/>
      <c r="H89" s="135" t="n"/>
      <c r="I89" s="136" t="n"/>
      <c r="J89" s="135" t="n"/>
      <c r="K89" s="137" t="n"/>
      <c r="L89" s="138" t="n"/>
    </row>
    <row r="90" ht="27.75" customHeight="1" s="108">
      <c r="A90" s="140" t="n"/>
      <c r="B90" s="140" t="n"/>
      <c r="C90" s="140" t="n"/>
      <c r="D90" s="140" t="n"/>
      <c r="E90" s="141" t="n"/>
      <c r="F90" s="142" t="n"/>
      <c r="G90" s="134" t="n"/>
      <c r="H90" s="135" t="n"/>
      <c r="I90" s="136" t="n"/>
      <c r="J90" s="135" t="n"/>
      <c r="K90" s="137" t="n"/>
      <c r="L90" s="138" t="n"/>
    </row>
    <row r="91" ht="27.75" customHeight="1" s="108">
      <c r="A91" s="140" t="n"/>
      <c r="B91" s="140" t="n"/>
      <c r="C91" s="140" t="n"/>
      <c r="D91" s="140" t="n"/>
      <c r="E91" s="141" t="n"/>
      <c r="F91" s="142" t="n"/>
      <c r="G91" s="134" t="n"/>
      <c r="H91" s="135" t="n"/>
      <c r="I91" s="136" t="n"/>
      <c r="J91" s="135" t="n"/>
      <c r="K91" s="137" t="n"/>
      <c r="L91" s="138" t="n"/>
    </row>
    <row r="92" ht="27.75" customHeight="1" s="108">
      <c r="A92" s="140" t="n"/>
      <c r="B92" s="140" t="n"/>
      <c r="C92" s="140" t="n"/>
      <c r="D92" s="140" t="n"/>
      <c r="E92" s="141" t="n"/>
      <c r="F92" s="142" t="n"/>
      <c r="G92" s="134" t="n"/>
      <c r="H92" s="135" t="n"/>
      <c r="I92" s="136" t="n"/>
      <c r="J92" s="135" t="n"/>
      <c r="K92" s="137" t="n"/>
      <c r="L92" s="138" t="n"/>
    </row>
    <row r="93" ht="27.75" customHeight="1" s="108">
      <c r="A93" s="140" t="n"/>
      <c r="B93" s="140" t="n"/>
      <c r="C93" s="140" t="n"/>
      <c r="D93" s="140" t="n"/>
      <c r="E93" s="141" t="n"/>
      <c r="F93" s="142" t="n"/>
      <c r="G93" s="134" t="n"/>
      <c r="H93" s="135" t="n"/>
      <c r="I93" s="136" t="n"/>
      <c r="J93" s="135" t="n"/>
      <c r="K93" s="137" t="n"/>
      <c r="L93" s="138" t="n"/>
    </row>
    <row r="94" ht="27.75" customHeight="1" s="108">
      <c r="A94" s="140" t="n"/>
      <c r="B94" s="140" t="n"/>
      <c r="C94" s="140" t="n"/>
      <c r="D94" s="140" t="n"/>
      <c r="E94" s="141" t="n"/>
      <c r="F94" s="142" t="n"/>
      <c r="G94" s="134" t="n"/>
      <c r="H94" s="135" t="n"/>
      <c r="I94" s="136" t="n"/>
      <c r="J94" s="135" t="n"/>
      <c r="K94" s="137" t="n"/>
      <c r="L94" s="138" t="n"/>
    </row>
    <row r="95" ht="27.75" customHeight="1" s="108">
      <c r="A95" s="140" t="n"/>
      <c r="B95" s="140" t="n"/>
      <c r="C95" s="140" t="n"/>
      <c r="D95" s="140" t="n"/>
      <c r="E95" s="141" t="n"/>
      <c r="F95" s="142" t="n"/>
      <c r="G95" s="134" t="n"/>
      <c r="H95" s="135" t="n"/>
      <c r="I95" s="136" t="n"/>
      <c r="J95" s="135" t="n"/>
      <c r="K95" s="137" t="n"/>
      <c r="L95" s="138" t="n"/>
    </row>
    <row r="96" ht="27.75" customHeight="1" s="108">
      <c r="A96" s="140" t="n"/>
      <c r="B96" s="140" t="n"/>
      <c r="C96" s="140" t="n"/>
      <c r="D96" s="140" t="n"/>
      <c r="E96" s="141" t="n"/>
      <c r="F96" s="142" t="n"/>
      <c r="G96" s="134" t="n"/>
      <c r="H96" s="135" t="n"/>
      <c r="I96" s="136" t="n"/>
      <c r="J96" s="135" t="n"/>
      <c r="K96" s="137" t="n"/>
      <c r="L96" s="138" t="n"/>
    </row>
    <row r="97" ht="27.75" customHeight="1" s="108">
      <c r="A97" s="140" t="n"/>
      <c r="B97" s="140" t="n"/>
      <c r="C97" s="140" t="n"/>
      <c r="D97" s="140" t="n"/>
      <c r="E97" s="141" t="n"/>
      <c r="F97" s="142" t="n"/>
      <c r="G97" s="134" t="n"/>
      <c r="H97" s="135" t="n"/>
      <c r="I97" s="136" t="n"/>
      <c r="J97" s="135" t="n"/>
      <c r="K97" s="137" t="n"/>
      <c r="L97" s="138" t="n"/>
    </row>
    <row r="98" ht="27.75" customHeight="1" s="108">
      <c r="A98" s="140" t="n"/>
      <c r="B98" s="140" t="n"/>
      <c r="C98" s="140" t="n"/>
      <c r="D98" s="140" t="n"/>
      <c r="E98" s="141" t="n"/>
      <c r="F98" s="142" t="n"/>
      <c r="G98" s="134" t="n"/>
      <c r="H98" s="135" t="n"/>
      <c r="I98" s="136" t="n"/>
      <c r="J98" s="135" t="n"/>
      <c r="K98" s="137" t="n"/>
      <c r="L98" s="138" t="n"/>
    </row>
    <row r="99" ht="27.75" customHeight="1" s="108">
      <c r="A99" s="140" t="n"/>
      <c r="B99" s="140" t="n"/>
      <c r="C99" s="140" t="n"/>
      <c r="D99" s="140" t="n"/>
      <c r="E99" s="141" t="n"/>
      <c r="F99" s="142" t="n"/>
      <c r="G99" s="134" t="n"/>
      <c r="H99" s="135" t="n"/>
      <c r="I99" s="136" t="n"/>
      <c r="J99" s="135" t="n"/>
      <c r="K99" s="137" t="n"/>
      <c r="L99" s="138" t="n"/>
    </row>
    <row r="100" ht="27.75" customHeight="1" s="108">
      <c r="A100" s="140" t="n"/>
      <c r="B100" s="140" t="n"/>
      <c r="C100" s="140" t="n"/>
      <c r="D100" s="140" t="n"/>
      <c r="E100" s="141" t="n"/>
      <c r="F100" s="142" t="n"/>
      <c r="G100" s="134" t="n"/>
      <c r="H100" s="135" t="n"/>
      <c r="I100" s="136" t="n"/>
      <c r="J100" s="135" t="n"/>
      <c r="K100" s="137" t="n"/>
      <c r="L100" s="138" t="n"/>
    </row>
    <row r="101" ht="27.75" customHeight="1" s="108">
      <c r="A101" s="140" t="n"/>
      <c r="B101" s="140" t="n"/>
      <c r="C101" s="140" t="n"/>
      <c r="D101" s="140" t="n"/>
      <c r="E101" s="141" t="n"/>
      <c r="F101" s="142" t="n"/>
      <c r="G101" s="134" t="n"/>
      <c r="H101" s="135" t="n"/>
      <c r="I101" s="136" t="n"/>
      <c r="J101" s="135" t="n"/>
      <c r="K101" s="137" t="n"/>
      <c r="L101" s="138" t="n"/>
    </row>
    <row r="102" ht="27.75" customHeight="1" s="108">
      <c r="A102" s="140" t="n"/>
      <c r="B102" s="140" t="n"/>
      <c r="C102" s="140" t="n"/>
      <c r="D102" s="140" t="n"/>
      <c r="E102" s="141" t="n"/>
      <c r="F102" s="142" t="n"/>
      <c r="G102" s="134" t="n"/>
      <c r="H102" s="135" t="n"/>
      <c r="I102" s="136" t="n"/>
      <c r="J102" s="135" t="n"/>
      <c r="K102" s="137" t="n"/>
      <c r="L102" s="138" t="n"/>
    </row>
    <row r="103" ht="27.75" customHeight="1" s="108">
      <c r="A103" s="140" t="n"/>
      <c r="B103" s="140" t="n"/>
      <c r="C103" s="140" t="n"/>
      <c r="D103" s="140" t="n"/>
      <c r="E103" s="141" t="n"/>
      <c r="F103" s="142" t="n"/>
      <c r="G103" s="134" t="n"/>
      <c r="H103" s="135" t="n"/>
      <c r="I103" s="136" t="n"/>
      <c r="J103" s="135" t="n"/>
      <c r="K103" s="137" t="n"/>
      <c r="L103" s="138" t="n"/>
    </row>
    <row r="104" ht="27.75" customHeight="1" s="108">
      <c r="A104" s="140" t="n"/>
      <c r="B104" s="140" t="n"/>
      <c r="C104" s="140" t="n"/>
      <c r="D104" s="140" t="n"/>
      <c r="E104" s="141" t="n"/>
      <c r="F104" s="142" t="n"/>
      <c r="G104" s="134" t="n"/>
      <c r="H104" s="135" t="n"/>
      <c r="I104" s="136" t="n"/>
      <c r="J104" s="135" t="n"/>
      <c r="K104" s="137" t="n"/>
      <c r="L104" s="138" t="n"/>
    </row>
    <row r="105" ht="27.75" customHeight="1" s="108">
      <c r="A105" s="140" t="n"/>
      <c r="B105" s="140" t="n"/>
      <c r="C105" s="140" t="n"/>
      <c r="D105" s="140" t="n"/>
      <c r="E105" s="141" t="n"/>
      <c r="F105" s="142" t="n"/>
      <c r="G105" s="134" t="n"/>
      <c r="H105" s="135" t="n"/>
      <c r="I105" s="136" t="n"/>
      <c r="J105" s="135" t="n"/>
      <c r="K105" s="137" t="n"/>
      <c r="L105" s="138" t="n"/>
    </row>
    <row r="106" ht="27.75" customHeight="1" s="108">
      <c r="A106" s="140" t="n"/>
      <c r="B106" s="140" t="n"/>
      <c r="C106" s="140" t="n"/>
      <c r="D106" s="140" t="n"/>
      <c r="E106" s="141" t="n"/>
      <c r="F106" s="142" t="n"/>
      <c r="G106" s="134" t="n"/>
      <c r="H106" s="135" t="n"/>
      <c r="I106" s="136" t="n"/>
      <c r="J106" s="135" t="n"/>
      <c r="K106" s="137" t="n"/>
      <c r="L106" s="138" t="n"/>
    </row>
    <row r="107" ht="27.75" customHeight="1" s="108">
      <c r="A107" s="140" t="n"/>
      <c r="B107" s="140" t="n"/>
      <c r="C107" s="140" t="n"/>
      <c r="D107" s="140" t="n"/>
      <c r="E107" s="141" t="n"/>
      <c r="F107" s="142" t="n"/>
      <c r="G107" s="134" t="n"/>
      <c r="H107" s="135" t="n"/>
      <c r="I107" s="136" t="n"/>
      <c r="J107" s="135" t="n"/>
      <c r="K107" s="137" t="n"/>
      <c r="L107" s="138" t="n"/>
    </row>
    <row r="108" ht="27.75" customHeight="1" s="108">
      <c r="A108" s="140" t="n"/>
      <c r="B108" s="140" t="n"/>
      <c r="C108" s="140" t="n"/>
      <c r="D108" s="140" t="n"/>
      <c r="E108" s="141" t="n"/>
      <c r="F108" s="142" t="n"/>
      <c r="G108" s="134" t="n"/>
      <c r="H108" s="135" t="n"/>
      <c r="I108" s="136" t="n"/>
      <c r="J108" s="135" t="n"/>
      <c r="K108" s="137" t="n"/>
      <c r="L108" s="138" t="n"/>
    </row>
    <row r="109" ht="27.75" customHeight="1" s="108">
      <c r="A109" s="140" t="n"/>
      <c r="B109" s="140" t="n"/>
      <c r="C109" s="140" t="n"/>
      <c r="D109" s="140" t="n"/>
      <c r="E109" s="141" t="n"/>
      <c r="F109" s="142" t="n"/>
      <c r="G109" s="134" t="n"/>
      <c r="H109" s="135" t="n"/>
      <c r="I109" s="136" t="n"/>
      <c r="J109" s="135" t="n"/>
      <c r="K109" s="137" t="n"/>
      <c r="L109" s="138" t="n"/>
    </row>
    <row r="110" ht="27.75" customHeight="1" s="108">
      <c r="A110" s="140" t="n"/>
      <c r="B110" s="140" t="n"/>
      <c r="C110" s="140" t="n"/>
      <c r="D110" s="140" t="n"/>
      <c r="E110" s="141" t="n"/>
      <c r="F110" s="142" t="n"/>
      <c r="G110" s="134" t="n"/>
      <c r="H110" s="135" t="n"/>
      <c r="I110" s="136" t="n"/>
      <c r="J110" s="135" t="n"/>
      <c r="K110" s="137" t="n"/>
      <c r="L110" s="138" t="n"/>
    </row>
    <row r="111" ht="27.75" customHeight="1" s="108">
      <c r="A111" s="140" t="n"/>
      <c r="B111" s="140" t="n"/>
      <c r="C111" s="140" t="n"/>
      <c r="D111" s="140" t="n"/>
      <c r="E111" s="141" t="n"/>
      <c r="F111" s="142" t="n"/>
      <c r="G111" s="134" t="n"/>
      <c r="H111" s="135" t="n"/>
      <c r="I111" s="136" t="n"/>
      <c r="J111" s="135" t="n"/>
      <c r="K111" s="137" t="n"/>
      <c r="L111" s="138" t="n"/>
    </row>
    <row r="112" ht="27.75" customHeight="1" s="108">
      <c r="A112" s="140" t="n"/>
      <c r="B112" s="140" t="n"/>
      <c r="C112" s="140" t="n"/>
      <c r="D112" s="140" t="n"/>
      <c r="E112" s="141" t="n"/>
      <c r="F112" s="142" t="n"/>
      <c r="G112" s="134" t="n"/>
      <c r="H112" s="135" t="n"/>
      <c r="I112" s="136" t="n"/>
      <c r="J112" s="135" t="n"/>
      <c r="K112" s="137" t="n"/>
      <c r="L112" s="138" t="n"/>
    </row>
    <row r="113" ht="27.75" customHeight="1" s="108">
      <c r="A113" s="140" t="n"/>
      <c r="B113" s="140" t="n"/>
      <c r="C113" s="140" t="n"/>
      <c r="D113" s="140" t="n"/>
      <c r="E113" s="141" t="n"/>
      <c r="F113" s="142" t="n"/>
      <c r="G113" s="134" t="n"/>
      <c r="H113" s="135" t="n"/>
      <c r="I113" s="136" t="n"/>
      <c r="J113" s="135" t="n"/>
      <c r="K113" s="137" t="n"/>
      <c r="L113" s="138" t="n"/>
    </row>
    <row r="114" ht="27.75" customHeight="1" s="108">
      <c r="A114" s="140" t="n"/>
      <c r="B114" s="140" t="n"/>
      <c r="C114" s="140" t="n"/>
      <c r="D114" s="140" t="n"/>
      <c r="E114" s="141" t="n"/>
      <c r="F114" s="142" t="n"/>
      <c r="G114" s="134" t="n"/>
      <c r="H114" s="135" t="n"/>
      <c r="I114" s="136" t="n"/>
      <c r="J114" s="135" t="n"/>
      <c r="K114" s="137" t="n"/>
      <c r="L114" s="138" t="n"/>
    </row>
    <row r="115" ht="27.75" customHeight="1" s="108">
      <c r="A115" s="140" t="n"/>
      <c r="B115" s="140" t="n"/>
      <c r="C115" s="140" t="n"/>
      <c r="D115" s="140" t="n"/>
      <c r="E115" s="141" t="n"/>
      <c r="F115" s="142" t="n"/>
      <c r="G115" s="134" t="n"/>
      <c r="H115" s="135" t="n"/>
      <c r="I115" s="136" t="n"/>
      <c r="J115" s="135" t="n"/>
      <c r="K115" s="137" t="n"/>
      <c r="L115" s="138" t="n"/>
    </row>
    <row r="116" ht="27.75" customHeight="1" s="108">
      <c r="A116" s="140" t="n"/>
      <c r="B116" s="140" t="n"/>
      <c r="C116" s="140" t="n"/>
      <c r="D116" s="140" t="n"/>
      <c r="E116" s="141" t="n"/>
      <c r="F116" s="142" t="n"/>
      <c r="G116" s="134" t="n"/>
      <c r="H116" s="135" t="n"/>
      <c r="I116" s="136" t="n"/>
      <c r="J116" s="135" t="n"/>
      <c r="K116" s="137" t="n"/>
      <c r="L116" s="138" t="n"/>
    </row>
    <row r="117" ht="27.75" customHeight="1" s="108">
      <c r="A117" s="140" t="n"/>
      <c r="B117" s="140" t="n"/>
      <c r="C117" s="140" t="n"/>
      <c r="D117" s="140" t="n"/>
      <c r="E117" s="141" t="n"/>
      <c r="F117" s="142" t="n"/>
      <c r="G117" s="134" t="n"/>
      <c r="H117" s="135" t="n"/>
      <c r="I117" s="136" t="n"/>
      <c r="J117" s="135" t="n"/>
      <c r="K117" s="137" t="n"/>
      <c r="L117" s="138" t="n"/>
    </row>
    <row r="118" ht="27.75" customHeight="1" s="108">
      <c r="A118" s="140" t="n"/>
      <c r="B118" s="140" t="n"/>
      <c r="C118" s="140" t="n"/>
      <c r="D118" s="140" t="n"/>
      <c r="E118" s="141" t="n"/>
      <c r="F118" s="142" t="n"/>
      <c r="G118" s="134" t="n"/>
      <c r="H118" s="135" t="n"/>
      <c r="I118" s="136" t="n"/>
      <c r="J118" s="135" t="n"/>
      <c r="K118" s="137" t="n"/>
      <c r="L118" s="138" t="n"/>
    </row>
    <row r="119" ht="27.75" customHeight="1" s="108">
      <c r="A119" s="140" t="n"/>
      <c r="B119" s="140" t="n"/>
      <c r="C119" s="140" t="n"/>
      <c r="D119" s="140" t="n"/>
      <c r="E119" s="141" t="n"/>
      <c r="F119" s="142" t="n"/>
      <c r="G119" s="134" t="n"/>
      <c r="H119" s="135" t="n"/>
      <c r="I119" s="136" t="n"/>
      <c r="J119" s="135" t="n"/>
      <c r="K119" s="137" t="n"/>
      <c r="L119" s="138" t="n"/>
    </row>
    <row r="120" ht="27.75" customHeight="1" s="108">
      <c r="A120" s="140" t="n"/>
      <c r="B120" s="140" t="n"/>
      <c r="C120" s="140" t="n"/>
      <c r="D120" s="140" t="n"/>
      <c r="E120" s="141" t="n"/>
      <c r="F120" s="142" t="n"/>
      <c r="G120" s="134" t="n"/>
      <c r="H120" s="135" t="n"/>
      <c r="I120" s="136" t="n"/>
      <c r="J120" s="135" t="n"/>
      <c r="K120" s="137" t="n"/>
      <c r="L120" s="138" t="n"/>
    </row>
    <row r="121" ht="27.75" customHeight="1" s="108">
      <c r="A121" s="140" t="n"/>
      <c r="B121" s="140" t="n"/>
      <c r="C121" s="140" t="n"/>
      <c r="D121" s="140" t="n"/>
      <c r="E121" s="141" t="n"/>
      <c r="F121" s="142" t="n"/>
      <c r="G121" s="134" t="n"/>
      <c r="H121" s="135" t="n"/>
      <c r="I121" s="136" t="n"/>
      <c r="J121" s="135" t="n"/>
      <c r="K121" s="137" t="n"/>
      <c r="L121" s="138" t="n"/>
    </row>
    <row r="122" ht="27.75" customHeight="1" s="108">
      <c r="A122" s="140" t="n"/>
      <c r="B122" s="140" t="n"/>
      <c r="C122" s="140" t="n"/>
      <c r="D122" s="140" t="n"/>
      <c r="E122" s="141" t="n"/>
      <c r="F122" s="142" t="n"/>
      <c r="G122" s="134" t="n"/>
      <c r="H122" s="135" t="n"/>
      <c r="I122" s="136" t="n"/>
      <c r="J122" s="135" t="n"/>
      <c r="K122" s="137" t="n"/>
      <c r="L122" s="138" t="n"/>
    </row>
    <row r="123" ht="27.75" customHeight="1" s="108">
      <c r="A123" s="140" t="n"/>
      <c r="B123" s="140" t="n"/>
      <c r="C123" s="140" t="n"/>
      <c r="D123" s="140" t="n"/>
      <c r="E123" s="141" t="n"/>
      <c r="F123" s="142" t="n"/>
      <c r="G123" s="134" t="n"/>
      <c r="H123" s="135" t="n"/>
      <c r="I123" s="136" t="n"/>
      <c r="J123" s="135" t="n"/>
      <c r="K123" s="137" t="n"/>
      <c r="L123" s="138" t="n"/>
    </row>
    <row r="124" ht="27.75" customHeight="1" s="108">
      <c r="A124" s="140" t="n"/>
      <c r="B124" s="140" t="n"/>
      <c r="C124" s="140" t="n"/>
      <c r="D124" s="140" t="n"/>
      <c r="E124" s="141" t="n"/>
      <c r="F124" s="142" t="n"/>
      <c r="G124" s="134" t="n"/>
      <c r="H124" s="135" t="n"/>
      <c r="I124" s="136" t="n"/>
      <c r="J124" s="135" t="n"/>
      <c r="K124" s="137" t="n"/>
      <c r="L124" s="138" t="n"/>
    </row>
    <row r="125" ht="27.75" customHeight="1" s="108">
      <c r="A125" s="140" t="n"/>
      <c r="B125" s="140" t="n"/>
      <c r="C125" s="140" t="n"/>
      <c r="D125" s="140" t="n"/>
      <c r="E125" s="141" t="n"/>
      <c r="F125" s="142" t="n"/>
      <c r="G125" s="134" t="n"/>
      <c r="H125" s="135" t="n"/>
      <c r="I125" s="136" t="n"/>
      <c r="J125" s="135" t="n"/>
      <c r="K125" s="137" t="n"/>
      <c r="L125" s="138" t="n"/>
    </row>
    <row r="126" ht="27.75" customHeight="1" s="108">
      <c r="A126" s="140" t="n"/>
      <c r="B126" s="140" t="n"/>
      <c r="C126" s="140" t="n"/>
      <c r="D126" s="140" t="n"/>
      <c r="E126" s="141" t="n"/>
      <c r="F126" s="142" t="n"/>
      <c r="G126" s="134" t="n"/>
      <c r="H126" s="135" t="n"/>
      <c r="I126" s="136" t="n"/>
      <c r="J126" s="135" t="n"/>
      <c r="K126" s="137" t="n"/>
      <c r="L126" s="138" t="n"/>
    </row>
    <row r="127" ht="27.75" customHeight="1" s="108">
      <c r="A127" s="140" t="n"/>
      <c r="B127" s="140" t="n"/>
      <c r="C127" s="140" t="n"/>
      <c r="D127" s="140" t="n"/>
      <c r="E127" s="141" t="n"/>
      <c r="F127" s="142" t="n"/>
      <c r="G127" s="134" t="n"/>
      <c r="H127" s="135" t="n"/>
      <c r="I127" s="136" t="n"/>
      <c r="J127" s="135" t="n"/>
      <c r="K127" s="137" t="n"/>
      <c r="L127" s="138" t="n"/>
    </row>
    <row r="128" ht="27.75" customHeight="1" s="108">
      <c r="A128" s="140" t="n"/>
      <c r="B128" s="140" t="n"/>
      <c r="C128" s="140" t="n"/>
      <c r="D128" s="140" t="n"/>
      <c r="E128" s="141" t="n"/>
      <c r="F128" s="142" t="n"/>
      <c r="G128" s="134" t="n"/>
      <c r="H128" s="135" t="n"/>
      <c r="I128" s="136" t="n"/>
      <c r="J128" s="135" t="n"/>
      <c r="K128" s="137" t="n"/>
      <c r="L128" s="138" t="n"/>
    </row>
    <row r="129" ht="27.75" customHeight="1" s="108">
      <c r="A129" s="140" t="n"/>
      <c r="B129" s="140" t="n"/>
      <c r="C129" s="140" t="n"/>
      <c r="D129" s="140" t="n"/>
      <c r="E129" s="141" t="n"/>
      <c r="F129" s="142" t="n"/>
      <c r="G129" s="134" t="n"/>
      <c r="H129" s="135" t="n"/>
      <c r="I129" s="136" t="n"/>
      <c r="J129" s="135" t="n"/>
      <c r="K129" s="137" t="n"/>
      <c r="L129" s="138" t="n"/>
    </row>
    <row r="130" ht="27.75" customHeight="1" s="108">
      <c r="A130" s="140" t="n"/>
      <c r="B130" s="140" t="n"/>
      <c r="C130" s="140" t="n"/>
      <c r="D130" s="140" t="n"/>
      <c r="E130" s="141" t="n"/>
      <c r="F130" s="142" t="n"/>
      <c r="G130" s="134" t="n"/>
      <c r="H130" s="135" t="n"/>
      <c r="I130" s="136" t="n"/>
      <c r="J130" s="135" t="n"/>
      <c r="K130" s="137" t="n"/>
      <c r="L130" s="138" t="n"/>
    </row>
    <row r="131" ht="27.75" customHeight="1" s="108">
      <c r="A131" s="140" t="n"/>
      <c r="B131" s="140" t="n"/>
      <c r="C131" s="140" t="n"/>
      <c r="D131" s="140" t="n"/>
      <c r="E131" s="141" t="n"/>
      <c r="F131" s="142" t="n"/>
      <c r="G131" s="134" t="n"/>
      <c r="H131" s="135" t="n"/>
      <c r="I131" s="136" t="n"/>
      <c r="J131" s="135" t="n"/>
      <c r="K131" s="137" t="n"/>
      <c r="L131" s="138" t="n"/>
    </row>
    <row r="132" ht="27.75" customHeight="1" s="108">
      <c r="A132" s="140" t="n"/>
      <c r="B132" s="140" t="n"/>
      <c r="C132" s="140" t="n"/>
      <c r="D132" s="140" t="n"/>
      <c r="E132" s="141" t="n"/>
      <c r="F132" s="142" t="n"/>
      <c r="G132" s="134" t="n"/>
      <c r="H132" s="135" t="n"/>
      <c r="I132" s="136" t="n"/>
      <c r="J132" s="135" t="n"/>
      <c r="K132" s="137" t="n"/>
      <c r="L132" s="138" t="n"/>
    </row>
    <row r="133" ht="27.75" customHeight="1" s="108">
      <c r="A133" s="140" t="n"/>
      <c r="B133" s="140" t="n"/>
      <c r="C133" s="140" t="n"/>
      <c r="D133" s="140" t="n"/>
      <c r="E133" s="141" t="n"/>
      <c r="F133" s="142" t="n"/>
      <c r="G133" s="134" t="n"/>
      <c r="H133" s="135" t="n"/>
      <c r="I133" s="136" t="n"/>
      <c r="J133" s="135" t="n"/>
      <c r="K133" s="137" t="n"/>
      <c r="L133" s="138" t="n"/>
    </row>
    <row r="134" ht="27.75" customHeight="1" s="108">
      <c r="A134" s="140" t="n"/>
      <c r="B134" s="140" t="n"/>
      <c r="C134" s="140" t="n"/>
      <c r="D134" s="140" t="n"/>
      <c r="E134" s="141" t="n"/>
      <c r="F134" s="142" t="n"/>
      <c r="G134" s="134" t="n"/>
      <c r="H134" s="135" t="n"/>
      <c r="I134" s="136" t="n"/>
      <c r="J134" s="135" t="n"/>
      <c r="K134" s="137" t="n"/>
      <c r="L134" s="138" t="n"/>
    </row>
    <row r="135" ht="27.75" customHeight="1" s="108">
      <c r="A135" s="140" t="n"/>
      <c r="B135" s="140" t="n"/>
      <c r="C135" s="140" t="n"/>
      <c r="D135" s="140" t="n"/>
      <c r="E135" s="141" t="n"/>
      <c r="F135" s="142" t="n"/>
      <c r="G135" s="134" t="n"/>
      <c r="H135" s="135" t="n"/>
      <c r="I135" s="136" t="n"/>
      <c r="J135" s="135" t="n"/>
      <c r="K135" s="137" t="n"/>
      <c r="L135" s="138" t="n"/>
    </row>
    <row r="136" ht="27.75" customHeight="1" s="108">
      <c r="A136" s="140" t="n"/>
      <c r="B136" s="140" t="n"/>
      <c r="C136" s="140" t="n"/>
      <c r="D136" s="140" t="n"/>
      <c r="E136" s="141" t="n"/>
      <c r="F136" s="142" t="n"/>
      <c r="G136" s="134" t="n"/>
      <c r="H136" s="135" t="n"/>
      <c r="I136" s="136" t="n"/>
      <c r="J136" s="135" t="n"/>
      <c r="K136" s="137" t="n"/>
      <c r="L136" s="138" t="n"/>
    </row>
    <row r="137" ht="27.75" customHeight="1" s="108">
      <c r="A137" s="140" t="n"/>
      <c r="B137" s="140" t="n"/>
      <c r="C137" s="140" t="n"/>
      <c r="D137" s="140" t="n"/>
      <c r="E137" s="141" t="n"/>
      <c r="F137" s="142" t="n"/>
      <c r="G137" s="134" t="n"/>
      <c r="H137" s="135" t="n"/>
      <c r="I137" s="136" t="n"/>
      <c r="J137" s="135" t="n"/>
      <c r="K137" s="137" t="n"/>
      <c r="L137" s="138" t="n"/>
    </row>
    <row r="138" ht="27.75" customHeight="1" s="108">
      <c r="A138" s="140" t="n"/>
      <c r="B138" s="140" t="n"/>
      <c r="C138" s="140" t="n"/>
      <c r="D138" s="140" t="n"/>
      <c r="E138" s="141" t="n"/>
      <c r="F138" s="142" t="n"/>
      <c r="G138" s="134" t="n"/>
      <c r="H138" s="135" t="n"/>
      <c r="I138" s="136" t="n"/>
      <c r="J138" s="135" t="n"/>
      <c r="K138" s="137" t="n"/>
      <c r="L138" s="138" t="n"/>
    </row>
    <row r="139" ht="27.75" customHeight="1" s="108">
      <c r="A139" s="140" t="n"/>
      <c r="B139" s="140" t="n"/>
      <c r="C139" s="140" t="n"/>
      <c r="D139" s="140" t="n"/>
      <c r="E139" s="141" t="n"/>
      <c r="F139" s="142" t="n"/>
      <c r="G139" s="134" t="n"/>
      <c r="H139" s="135" t="n"/>
      <c r="I139" s="136" t="n"/>
      <c r="J139" s="135" t="n"/>
      <c r="K139" s="137" t="n"/>
      <c r="L139" s="138" t="n"/>
    </row>
    <row r="140" ht="27.75" customHeight="1" s="108">
      <c r="A140" s="140" t="n"/>
      <c r="B140" s="140" t="n"/>
      <c r="C140" s="140" t="n"/>
      <c r="D140" s="140" t="n"/>
      <c r="E140" s="141" t="n"/>
      <c r="F140" s="142" t="n"/>
      <c r="G140" s="134" t="n"/>
      <c r="H140" s="135" t="n"/>
      <c r="I140" s="136" t="n"/>
      <c r="J140" s="135" t="n"/>
      <c r="K140" s="137" t="n"/>
      <c r="L140" s="138" t="n"/>
    </row>
    <row r="141" ht="27.75" customHeight="1" s="108">
      <c r="A141" s="140" t="n"/>
      <c r="B141" s="140" t="n"/>
      <c r="C141" s="140" t="n"/>
      <c r="D141" s="140" t="n"/>
      <c r="E141" s="141" t="n"/>
      <c r="F141" s="142" t="n"/>
      <c r="G141" s="134" t="n"/>
      <c r="H141" s="135" t="n"/>
      <c r="I141" s="136" t="n"/>
      <c r="J141" s="135" t="n"/>
      <c r="K141" s="137" t="n"/>
      <c r="L141" s="138" t="n"/>
    </row>
    <row r="142" ht="27.75" customHeight="1" s="108">
      <c r="A142" s="140" t="n"/>
      <c r="B142" s="140" t="n"/>
      <c r="C142" s="140" t="n"/>
      <c r="D142" s="140" t="n"/>
      <c r="E142" s="141" t="n"/>
      <c r="F142" s="142" t="n"/>
      <c r="G142" s="134" t="n"/>
      <c r="H142" s="135" t="n"/>
      <c r="I142" s="136" t="n"/>
      <c r="J142" s="135" t="n"/>
      <c r="K142" s="137" t="n"/>
      <c r="L142" s="138" t="n"/>
    </row>
    <row r="143" ht="27.75" customHeight="1" s="108">
      <c r="A143" s="140" t="n"/>
      <c r="B143" s="140" t="n"/>
      <c r="C143" s="140" t="n"/>
      <c r="D143" s="140" t="n"/>
      <c r="E143" s="141" t="n"/>
      <c r="F143" s="142" t="n"/>
      <c r="G143" s="134" t="n"/>
      <c r="H143" s="135" t="n"/>
      <c r="I143" s="136" t="n"/>
      <c r="J143" s="135" t="n"/>
      <c r="K143" s="137" t="n"/>
      <c r="L143" s="138" t="n"/>
    </row>
    <row r="144" ht="27.75" customHeight="1" s="108">
      <c r="A144" s="140" t="n"/>
      <c r="B144" s="140" t="n"/>
      <c r="C144" s="140" t="n"/>
      <c r="D144" s="140" t="n"/>
      <c r="E144" s="141" t="n"/>
      <c r="F144" s="142" t="n"/>
      <c r="G144" s="134" t="n"/>
      <c r="H144" s="135" t="n"/>
      <c r="I144" s="136" t="n"/>
      <c r="J144" s="135" t="n"/>
      <c r="K144" s="137" t="n"/>
      <c r="L144" s="138" t="n"/>
    </row>
    <row r="145" ht="27.75" customHeight="1" s="108">
      <c r="A145" s="140" t="n"/>
      <c r="B145" s="140" t="n"/>
      <c r="C145" s="140" t="n"/>
      <c r="D145" s="140" t="n"/>
      <c r="E145" s="141" t="n"/>
      <c r="F145" s="142" t="n"/>
      <c r="G145" s="134" t="n"/>
      <c r="H145" s="135" t="n"/>
      <c r="I145" s="136" t="n"/>
      <c r="J145" s="135" t="n"/>
      <c r="K145" s="137" t="n"/>
      <c r="L145" s="138" t="n"/>
    </row>
    <row r="146" ht="27.75" customHeight="1" s="108">
      <c r="A146" s="140" t="n"/>
      <c r="B146" s="140" t="n"/>
      <c r="C146" s="140" t="n"/>
      <c r="D146" s="140" t="n"/>
      <c r="E146" s="141" t="n"/>
      <c r="F146" s="142" t="n"/>
      <c r="G146" s="134" t="n"/>
      <c r="H146" s="135" t="n"/>
      <c r="I146" s="136" t="n"/>
      <c r="J146" s="135" t="n"/>
      <c r="K146" s="137" t="n"/>
      <c r="L146" s="138" t="n"/>
    </row>
    <row r="147" ht="27.75" customHeight="1" s="108">
      <c r="A147" s="140" t="n"/>
      <c r="B147" s="140" t="n"/>
      <c r="C147" s="140" t="n"/>
      <c r="D147" s="140" t="n"/>
      <c r="E147" s="141" t="n"/>
      <c r="F147" s="142" t="n"/>
      <c r="G147" s="134" t="n"/>
      <c r="H147" s="135" t="n"/>
      <c r="I147" s="136" t="n"/>
      <c r="J147" s="135" t="n"/>
      <c r="K147" s="137" t="n"/>
      <c r="L147" s="138" t="n"/>
    </row>
    <row r="148" ht="27.75" customHeight="1" s="108">
      <c r="A148" s="140" t="n"/>
      <c r="B148" s="140" t="n"/>
      <c r="C148" s="140" t="n"/>
      <c r="D148" s="140" t="n"/>
      <c r="E148" s="141" t="n"/>
      <c r="F148" s="142" t="n"/>
      <c r="G148" s="134" t="n"/>
      <c r="H148" s="135" t="n"/>
      <c r="I148" s="136" t="n"/>
      <c r="J148" s="135" t="n"/>
      <c r="K148" s="137" t="n"/>
      <c r="L148" s="138" t="n"/>
    </row>
    <row r="149" ht="27.75" customHeight="1" s="108">
      <c r="A149" s="140" t="n"/>
      <c r="B149" s="140" t="n"/>
      <c r="C149" s="140" t="n"/>
      <c r="D149" s="140" t="n"/>
      <c r="E149" s="141" t="n"/>
      <c r="F149" s="142" t="n"/>
      <c r="G149" s="134" t="n"/>
      <c r="H149" s="135" t="n"/>
      <c r="I149" s="136" t="n"/>
      <c r="J149" s="135" t="n"/>
      <c r="K149" s="137" t="n"/>
      <c r="L149" s="138" t="n"/>
    </row>
    <row r="150" ht="27.75" customHeight="1" s="108">
      <c r="A150" s="140" t="n"/>
      <c r="B150" s="140" t="n"/>
      <c r="C150" s="140" t="n"/>
      <c r="D150" s="140" t="n"/>
      <c r="E150" s="141" t="n"/>
      <c r="F150" s="142" t="n"/>
      <c r="G150" s="134" t="n"/>
      <c r="H150" s="135" t="n"/>
      <c r="I150" s="136" t="n"/>
      <c r="J150" s="135" t="n"/>
      <c r="K150" s="137" t="n"/>
      <c r="L150" s="138" t="n"/>
    </row>
    <row r="151" ht="27.75" customHeight="1" s="108">
      <c r="A151" s="140" t="n"/>
      <c r="B151" s="140" t="n"/>
      <c r="C151" s="140" t="n"/>
      <c r="D151" s="140" t="n"/>
      <c r="E151" s="141" t="n"/>
      <c r="F151" s="142" t="n"/>
      <c r="G151" s="134" t="n"/>
      <c r="H151" s="135" t="n"/>
      <c r="I151" s="136" t="n"/>
      <c r="J151" s="135" t="n"/>
      <c r="K151" s="137" t="n"/>
      <c r="L151" s="138" t="n"/>
    </row>
    <row r="152" ht="27.75" customHeight="1" s="108">
      <c r="A152" s="140" t="n"/>
      <c r="B152" s="140" t="n"/>
      <c r="C152" s="140" t="n"/>
      <c r="D152" s="140" t="n"/>
      <c r="E152" s="141" t="n"/>
      <c r="F152" s="142" t="n"/>
      <c r="G152" s="134" t="n"/>
      <c r="H152" s="135" t="n"/>
      <c r="I152" s="136" t="n"/>
      <c r="J152" s="135" t="n"/>
      <c r="K152" s="137" t="n"/>
      <c r="L152" s="138" t="n"/>
    </row>
    <row r="153" ht="27.75" customHeight="1" s="108">
      <c r="A153" s="140" t="n"/>
      <c r="B153" s="140" t="n"/>
      <c r="C153" s="140" t="n"/>
      <c r="D153" s="140" t="n"/>
      <c r="E153" s="141" t="n"/>
      <c r="F153" s="142" t="n"/>
      <c r="G153" s="134" t="n"/>
      <c r="H153" s="135" t="n"/>
      <c r="I153" s="136" t="n"/>
      <c r="J153" s="135" t="n"/>
      <c r="K153" s="137" t="n"/>
      <c r="L153" s="138" t="n"/>
    </row>
    <row r="154" ht="27.75" customHeight="1" s="108">
      <c r="A154" s="140" t="n"/>
      <c r="B154" s="140" t="n"/>
      <c r="C154" s="140" t="n"/>
      <c r="D154" s="140" t="n"/>
      <c r="E154" s="141" t="n"/>
      <c r="F154" s="142" t="n"/>
      <c r="G154" s="134" t="n"/>
      <c r="H154" s="135" t="n"/>
      <c r="I154" s="136" t="n"/>
      <c r="J154" s="135" t="n"/>
      <c r="K154" s="137" t="n"/>
      <c r="L154" s="138" t="n"/>
    </row>
    <row r="155" ht="27.75" customHeight="1" s="108">
      <c r="A155" s="140" t="n"/>
      <c r="B155" s="140" t="n"/>
      <c r="C155" s="140" t="n"/>
      <c r="D155" s="140" t="n"/>
      <c r="E155" s="141" t="n"/>
      <c r="F155" s="142" t="n"/>
      <c r="G155" s="134" t="n"/>
      <c r="H155" s="135" t="n"/>
      <c r="I155" s="136" t="n"/>
      <c r="J155" s="135" t="n"/>
      <c r="K155" s="137" t="n"/>
      <c r="L155" s="138" t="n"/>
    </row>
    <row r="156" ht="27.75" customHeight="1" s="108">
      <c r="A156" s="140" t="n"/>
      <c r="B156" s="140" t="n"/>
      <c r="C156" s="140" t="n"/>
      <c r="D156" s="140" t="n"/>
      <c r="E156" s="141" t="n"/>
      <c r="F156" s="142" t="n"/>
      <c r="G156" s="134" t="n"/>
      <c r="H156" s="135" t="n"/>
      <c r="I156" s="136" t="n"/>
      <c r="J156" s="135" t="n"/>
      <c r="K156" s="137" t="n"/>
      <c r="L156" s="138" t="n"/>
    </row>
    <row r="157" ht="27.75" customHeight="1" s="108">
      <c r="A157" s="140" t="n"/>
      <c r="B157" s="140" t="n"/>
      <c r="C157" s="140" t="n"/>
      <c r="D157" s="140" t="n"/>
      <c r="E157" s="141" t="n"/>
      <c r="F157" s="142" t="n"/>
      <c r="G157" s="134" t="n"/>
      <c r="H157" s="135" t="n"/>
      <c r="I157" s="136" t="n"/>
      <c r="J157" s="135" t="n"/>
      <c r="K157" s="137" t="n"/>
      <c r="L157" s="138" t="n"/>
    </row>
    <row r="158" ht="27.75" customHeight="1" s="108">
      <c r="A158" s="140" t="n"/>
      <c r="B158" s="140" t="n"/>
      <c r="C158" s="140" t="n"/>
      <c r="D158" s="140" t="n"/>
      <c r="E158" s="141" t="n"/>
      <c r="F158" s="142" t="n"/>
      <c r="G158" s="134" t="n"/>
      <c r="H158" s="135" t="n"/>
      <c r="I158" s="136" t="n"/>
      <c r="J158" s="135" t="n"/>
      <c r="K158" s="137" t="n"/>
      <c r="L158" s="138" t="n"/>
    </row>
    <row r="159" ht="27.75" customHeight="1" s="108">
      <c r="A159" s="140" t="n"/>
      <c r="B159" s="140" t="n"/>
      <c r="C159" s="140" t="n"/>
      <c r="D159" s="140" t="n"/>
      <c r="E159" s="141" t="n"/>
      <c r="F159" s="142" t="n"/>
      <c r="G159" s="134" t="n"/>
      <c r="H159" s="135" t="n"/>
      <c r="I159" s="136" t="n"/>
      <c r="J159" s="135" t="n"/>
      <c r="K159" s="137" t="n"/>
      <c r="L159" s="138" t="n"/>
    </row>
    <row r="160" ht="27.75" customHeight="1" s="108">
      <c r="A160" s="140" t="n"/>
      <c r="B160" s="140" t="n"/>
      <c r="C160" s="140" t="n"/>
      <c r="D160" s="140" t="n"/>
      <c r="E160" s="141" t="n"/>
      <c r="F160" s="142" t="n"/>
      <c r="G160" s="134" t="n"/>
      <c r="H160" s="135" t="n"/>
      <c r="I160" s="136" t="n"/>
      <c r="J160" s="135" t="n"/>
      <c r="K160" s="137" t="n"/>
      <c r="L160" s="138" t="n"/>
    </row>
    <row r="161" ht="27.75" customHeight="1" s="108">
      <c r="A161" s="140" t="n"/>
      <c r="B161" s="140" t="n"/>
      <c r="C161" s="140" t="n"/>
      <c r="D161" s="140" t="n"/>
      <c r="E161" s="141" t="n"/>
      <c r="F161" s="142" t="n"/>
      <c r="G161" s="134" t="n"/>
      <c r="H161" s="135" t="n"/>
      <c r="I161" s="136" t="n"/>
      <c r="J161" s="135" t="n"/>
      <c r="K161" s="137" t="n"/>
      <c r="L161" s="138" t="n"/>
    </row>
    <row r="162" ht="27.75" customHeight="1" s="108">
      <c r="A162" s="140" t="n"/>
      <c r="B162" s="140" t="n"/>
      <c r="C162" s="140" t="n"/>
      <c r="D162" s="140" t="n"/>
      <c r="E162" s="141" t="n"/>
      <c r="F162" s="142" t="n"/>
      <c r="G162" s="134" t="n"/>
      <c r="H162" s="135" t="n"/>
      <c r="I162" s="136" t="n"/>
      <c r="J162" s="135" t="n"/>
      <c r="K162" s="137" t="n"/>
      <c r="L162" s="138" t="n"/>
    </row>
    <row r="163" ht="27.75" customHeight="1" s="108">
      <c r="A163" s="140" t="n"/>
      <c r="B163" s="140" t="n"/>
      <c r="C163" s="140" t="n"/>
      <c r="D163" s="140" t="n"/>
      <c r="E163" s="141" t="n"/>
      <c r="F163" s="142" t="n"/>
      <c r="G163" s="134" t="n"/>
      <c r="H163" s="135" t="n"/>
      <c r="I163" s="136" t="n"/>
      <c r="J163" s="135" t="n"/>
      <c r="K163" s="137" t="n"/>
      <c r="L163" s="138" t="n"/>
    </row>
    <row r="164" ht="27.75" customHeight="1" s="108">
      <c r="A164" s="140" t="n"/>
      <c r="B164" s="140" t="n"/>
      <c r="C164" s="140" t="n"/>
      <c r="D164" s="140" t="n"/>
      <c r="E164" s="141" t="n"/>
      <c r="F164" s="142" t="n"/>
      <c r="G164" s="134" t="n"/>
      <c r="H164" s="135" t="n"/>
      <c r="I164" s="136" t="n"/>
      <c r="J164" s="135" t="n"/>
      <c r="K164" s="137" t="n"/>
      <c r="L164" s="138" t="n"/>
    </row>
    <row r="165" ht="27.75" customHeight="1" s="108">
      <c r="A165" s="140" t="n"/>
      <c r="B165" s="140" t="n"/>
      <c r="C165" s="140" t="n"/>
      <c r="D165" s="140" t="n"/>
      <c r="E165" s="141" t="n"/>
      <c r="F165" s="142" t="n"/>
      <c r="G165" s="134" t="n"/>
      <c r="H165" s="135" t="n"/>
      <c r="I165" s="136" t="n"/>
      <c r="J165" s="135" t="n"/>
      <c r="K165" s="137" t="n"/>
      <c r="L165" s="138" t="n"/>
    </row>
    <row r="166" ht="27.75" customHeight="1" s="108">
      <c r="A166" s="140" t="n"/>
      <c r="B166" s="140" t="n"/>
      <c r="C166" s="140" t="n"/>
      <c r="D166" s="140" t="n"/>
      <c r="E166" s="141" t="n"/>
      <c r="F166" s="142" t="n"/>
      <c r="G166" s="134" t="n"/>
      <c r="H166" s="135" t="n"/>
      <c r="I166" s="136" t="n"/>
      <c r="J166" s="135" t="n"/>
      <c r="K166" s="137" t="n"/>
      <c r="L166" s="138" t="n"/>
    </row>
    <row r="167" ht="27.75" customHeight="1" s="108">
      <c r="A167" s="140" t="n"/>
      <c r="B167" s="140" t="n"/>
      <c r="C167" s="140" t="n"/>
      <c r="D167" s="140" t="n"/>
      <c r="E167" s="141" t="n"/>
      <c r="F167" s="142" t="n"/>
      <c r="G167" s="134" t="n"/>
      <c r="H167" s="135" t="n"/>
      <c r="I167" s="136" t="n"/>
      <c r="J167" s="135" t="n"/>
      <c r="K167" s="137" t="n"/>
      <c r="L167" s="138" t="n"/>
    </row>
    <row r="168" ht="27.75" customHeight="1" s="108">
      <c r="A168" s="140" t="n"/>
      <c r="B168" s="140" t="n"/>
      <c r="C168" s="140" t="n"/>
      <c r="D168" s="140" t="n"/>
      <c r="E168" s="141" t="n"/>
      <c r="F168" s="142" t="n"/>
      <c r="G168" s="134" t="n"/>
      <c r="H168" s="135" t="n"/>
      <c r="I168" s="136" t="n"/>
      <c r="J168" s="135" t="n"/>
      <c r="K168" s="137" t="n"/>
      <c r="L168" s="138" t="n"/>
    </row>
    <row r="169" ht="27.75" customHeight="1" s="108">
      <c r="A169" s="140" t="n"/>
      <c r="B169" s="140" t="n"/>
      <c r="C169" s="140" t="n"/>
      <c r="D169" s="140" t="n"/>
      <c r="E169" s="141" t="n"/>
      <c r="F169" s="142" t="n"/>
      <c r="G169" s="134" t="n"/>
      <c r="H169" s="135" t="n"/>
      <c r="I169" s="136" t="n"/>
      <c r="J169" s="135" t="n"/>
      <c r="K169" s="137" t="n"/>
      <c r="L169" s="138" t="n"/>
    </row>
    <row r="170" ht="27.75" customHeight="1" s="108">
      <c r="A170" s="140" t="n"/>
      <c r="B170" s="140" t="n"/>
      <c r="C170" s="140" t="n"/>
      <c r="D170" s="140" t="n"/>
      <c r="E170" s="141" t="n"/>
      <c r="F170" s="142" t="n"/>
      <c r="G170" s="134" t="n"/>
      <c r="H170" s="135" t="n"/>
      <c r="I170" s="136" t="n"/>
      <c r="J170" s="135" t="n"/>
      <c r="K170" s="137" t="n"/>
      <c r="L170" s="138" t="n"/>
    </row>
    <row r="171" ht="27.75" customHeight="1" s="108">
      <c r="A171" s="140" t="n"/>
      <c r="B171" s="140" t="n"/>
      <c r="C171" s="140" t="n"/>
      <c r="D171" s="140" t="n"/>
      <c r="E171" s="141" t="n"/>
      <c r="F171" s="142" t="n"/>
      <c r="G171" s="134" t="n"/>
      <c r="H171" s="135" t="n"/>
      <c r="I171" s="136" t="n"/>
      <c r="J171" s="135" t="n"/>
      <c r="K171" s="137" t="n"/>
      <c r="L171" s="138" t="n"/>
    </row>
    <row r="172" ht="27.75" customHeight="1" s="108">
      <c r="A172" s="140" t="n"/>
      <c r="B172" s="140" t="n"/>
      <c r="C172" s="140" t="n"/>
      <c r="D172" s="140" t="n"/>
      <c r="E172" s="141" t="n"/>
      <c r="F172" s="142" t="n"/>
      <c r="G172" s="134" t="n"/>
      <c r="H172" s="135" t="n"/>
      <c r="I172" s="136" t="n"/>
      <c r="J172" s="135" t="n"/>
      <c r="K172" s="137" t="n"/>
      <c r="L172" s="138" t="n"/>
    </row>
    <row r="173" ht="27.75" customHeight="1" s="108">
      <c r="A173" s="140" t="n"/>
      <c r="B173" s="140" t="n"/>
      <c r="C173" s="140" t="n"/>
      <c r="D173" s="140" t="n"/>
      <c r="E173" s="141" t="n"/>
      <c r="F173" s="142" t="n"/>
      <c r="G173" s="134" t="n"/>
      <c r="H173" s="135" t="n"/>
      <c r="I173" s="136" t="n"/>
      <c r="J173" s="135" t="n"/>
      <c r="K173" s="137" t="n"/>
      <c r="L173" s="138" t="n"/>
    </row>
    <row r="174" ht="27.75" customHeight="1" s="108">
      <c r="A174" s="140" t="n"/>
      <c r="B174" s="140" t="n"/>
      <c r="C174" s="140" t="n"/>
      <c r="D174" s="140" t="n"/>
      <c r="E174" s="141" t="n"/>
      <c r="F174" s="142" t="n"/>
      <c r="G174" s="134" t="n"/>
      <c r="H174" s="135" t="n"/>
      <c r="I174" s="136" t="n"/>
      <c r="J174" s="135" t="n"/>
      <c r="K174" s="137" t="n"/>
      <c r="L174" s="138" t="n"/>
    </row>
    <row r="175" ht="27.75" customHeight="1" s="108">
      <c r="A175" s="140" t="n"/>
      <c r="B175" s="140" t="n"/>
      <c r="C175" s="140" t="n"/>
      <c r="D175" s="140" t="n"/>
      <c r="E175" s="141" t="n"/>
      <c r="F175" s="142" t="n"/>
      <c r="G175" s="134" t="n"/>
      <c r="H175" s="135" t="n"/>
      <c r="I175" s="136" t="n"/>
      <c r="J175" s="135" t="n"/>
      <c r="K175" s="137" t="n"/>
      <c r="L175" s="138" t="n"/>
    </row>
    <row r="176" ht="27.75" customHeight="1" s="108">
      <c r="A176" s="140" t="n"/>
      <c r="B176" s="140" t="n"/>
      <c r="C176" s="140" t="n"/>
      <c r="D176" s="140" t="n"/>
      <c r="E176" s="141" t="n"/>
      <c r="F176" s="142" t="n"/>
      <c r="G176" s="134" t="n"/>
      <c r="H176" s="135" t="n"/>
      <c r="I176" s="136" t="n"/>
      <c r="J176" s="135" t="n"/>
      <c r="K176" s="137" t="n"/>
      <c r="L176" s="138" t="n"/>
    </row>
    <row r="177" ht="27.75" customHeight="1" s="108">
      <c r="A177" s="140" t="n"/>
      <c r="B177" s="140" t="n"/>
      <c r="C177" s="140" t="n"/>
      <c r="D177" s="140" t="n"/>
      <c r="E177" s="141" t="n"/>
      <c r="F177" s="142" t="n"/>
      <c r="G177" s="134" t="n"/>
      <c r="H177" s="135" t="n"/>
      <c r="I177" s="136" t="n"/>
      <c r="J177" s="135" t="n"/>
      <c r="K177" s="137" t="n"/>
      <c r="L177" s="138" t="n"/>
    </row>
    <row r="178" ht="27.75" customHeight="1" s="108">
      <c r="A178" s="140" t="n"/>
      <c r="B178" s="140" t="n"/>
      <c r="C178" s="140" t="n"/>
      <c r="D178" s="140" t="n"/>
      <c r="E178" s="141" t="n"/>
      <c r="F178" s="142" t="n"/>
      <c r="G178" s="134" t="n"/>
      <c r="H178" s="135" t="n"/>
      <c r="I178" s="136" t="n"/>
      <c r="J178" s="135" t="n"/>
      <c r="K178" s="137" t="n"/>
      <c r="L178" s="138" t="n"/>
    </row>
    <row r="179" ht="27.75" customHeight="1" s="108">
      <c r="A179" s="140" t="n"/>
      <c r="B179" s="140" t="n"/>
      <c r="C179" s="140" t="n"/>
      <c r="D179" s="140" t="n"/>
      <c r="E179" s="141" t="n"/>
      <c r="F179" s="142" t="n"/>
      <c r="G179" s="134" t="n"/>
      <c r="H179" s="135" t="n"/>
      <c r="I179" s="136" t="n"/>
      <c r="J179" s="135" t="n"/>
      <c r="K179" s="137" t="n"/>
      <c r="L179" s="138" t="n"/>
    </row>
    <row r="180" ht="27.75" customHeight="1" s="108">
      <c r="A180" s="140" t="n"/>
      <c r="B180" s="140" t="n"/>
      <c r="C180" s="140" t="n"/>
      <c r="D180" s="140" t="n"/>
      <c r="E180" s="141" t="n"/>
      <c r="F180" s="142" t="n"/>
      <c r="G180" s="134" t="n"/>
      <c r="H180" s="135" t="n"/>
      <c r="I180" s="136" t="n"/>
      <c r="J180" s="135" t="n"/>
      <c r="K180" s="137" t="n"/>
      <c r="L180" s="138" t="n"/>
    </row>
    <row r="181" ht="27.75" customHeight="1" s="108">
      <c r="A181" s="140" t="n"/>
      <c r="B181" s="140" t="n"/>
      <c r="C181" s="140" t="n"/>
      <c r="D181" s="140" t="n"/>
      <c r="E181" s="141" t="n"/>
      <c r="F181" s="142" t="n"/>
      <c r="G181" s="134" t="n"/>
      <c r="H181" s="135" t="n"/>
      <c r="I181" s="136" t="n"/>
      <c r="J181" s="135" t="n"/>
      <c r="K181" s="137" t="n"/>
      <c r="L181" s="138" t="n"/>
    </row>
    <row r="182" ht="27.75" customHeight="1" s="108">
      <c r="A182" s="140" t="n"/>
      <c r="B182" s="140" t="n"/>
      <c r="C182" s="140" t="n"/>
      <c r="D182" s="140" t="n"/>
      <c r="E182" s="141" t="n"/>
      <c r="F182" s="142" t="n"/>
      <c r="G182" s="134" t="n"/>
      <c r="H182" s="135" t="n"/>
      <c r="I182" s="136" t="n"/>
      <c r="J182" s="135" t="n"/>
      <c r="K182" s="137" t="n"/>
      <c r="L182" s="138" t="n"/>
    </row>
    <row r="183" ht="27.75" customHeight="1" s="108">
      <c r="A183" s="140" t="n"/>
      <c r="B183" s="140" t="n"/>
      <c r="C183" s="140" t="n"/>
      <c r="D183" s="140" t="n"/>
      <c r="E183" s="141" t="n"/>
      <c r="F183" s="142" t="n"/>
      <c r="G183" s="134" t="n"/>
      <c r="H183" s="135" t="n"/>
      <c r="I183" s="136" t="n"/>
      <c r="J183" s="135" t="n"/>
      <c r="K183" s="137" t="n"/>
      <c r="L183" s="138" t="n"/>
    </row>
    <row r="184" ht="27.75" customHeight="1" s="108">
      <c r="A184" s="140" t="n"/>
      <c r="B184" s="140" t="n"/>
      <c r="C184" s="140" t="n"/>
      <c r="D184" s="140" t="n"/>
      <c r="E184" s="141" t="n"/>
      <c r="F184" s="142" t="n"/>
      <c r="G184" s="134" t="n"/>
      <c r="H184" s="135" t="n"/>
      <c r="I184" s="136" t="n"/>
      <c r="J184" s="135" t="n"/>
      <c r="K184" s="137" t="n"/>
      <c r="L184" s="138" t="n"/>
    </row>
    <row r="185" ht="27.75" customHeight="1" s="108">
      <c r="A185" s="140" t="n"/>
      <c r="B185" s="140" t="n"/>
      <c r="C185" s="140" t="n"/>
      <c r="D185" s="140" t="n"/>
      <c r="E185" s="141" t="n"/>
      <c r="F185" s="142" t="n"/>
      <c r="G185" s="134" t="n"/>
      <c r="H185" s="135" t="n"/>
      <c r="I185" s="136" t="n"/>
      <c r="J185" s="135" t="n"/>
      <c r="K185" s="137" t="n"/>
      <c r="L185" s="138" t="n"/>
    </row>
    <row r="186" ht="27.75" customHeight="1" s="108">
      <c r="A186" s="140" t="n"/>
      <c r="B186" s="140" t="n"/>
      <c r="C186" s="140" t="n"/>
      <c r="D186" s="140" t="n"/>
      <c r="E186" s="141" t="n"/>
      <c r="F186" s="142" t="n"/>
      <c r="G186" s="134" t="n"/>
      <c r="H186" s="135" t="n"/>
      <c r="I186" s="136" t="n"/>
      <c r="J186" s="135" t="n"/>
      <c r="K186" s="137" t="n"/>
      <c r="L186" s="138" t="n"/>
    </row>
    <row r="187" ht="27.75" customHeight="1" s="108">
      <c r="A187" s="140" t="n"/>
      <c r="B187" s="140" t="n"/>
      <c r="C187" s="140" t="n"/>
      <c r="D187" s="140" t="n"/>
      <c r="E187" s="141" t="n"/>
      <c r="F187" s="142" t="n"/>
      <c r="G187" s="134" t="n"/>
      <c r="H187" s="135" t="n"/>
      <c r="I187" s="136" t="n"/>
      <c r="J187" s="135" t="n"/>
      <c r="K187" s="137" t="n"/>
      <c r="L187" s="138" t="n"/>
    </row>
    <row r="188" ht="27.75" customHeight="1" s="108">
      <c r="A188" s="140" t="n"/>
      <c r="B188" s="140" t="n"/>
      <c r="C188" s="140" t="n"/>
      <c r="D188" s="140" t="n"/>
      <c r="E188" s="141" t="n"/>
      <c r="F188" s="142" t="n"/>
      <c r="G188" s="134" t="n"/>
      <c r="H188" s="135" t="n"/>
      <c r="I188" s="136" t="n"/>
      <c r="J188" s="135" t="n"/>
      <c r="K188" s="137" t="n"/>
      <c r="L188" s="138" t="n"/>
    </row>
    <row r="189" ht="27.75" customHeight="1" s="108">
      <c r="A189" s="140" t="n"/>
      <c r="B189" s="140" t="n"/>
      <c r="C189" s="140" t="n"/>
      <c r="D189" s="140" t="n"/>
      <c r="E189" s="141" t="n"/>
      <c r="F189" s="142" t="n"/>
      <c r="G189" s="134" t="n"/>
      <c r="H189" s="135" t="n"/>
      <c r="I189" s="136" t="n"/>
      <c r="J189" s="135" t="n"/>
      <c r="K189" s="137" t="n"/>
      <c r="L189" s="138" t="n"/>
    </row>
    <row r="190" ht="27.75" customHeight="1" s="108">
      <c r="A190" s="140" t="n"/>
      <c r="B190" s="140" t="n"/>
      <c r="C190" s="140" t="n"/>
      <c r="D190" s="140" t="n"/>
      <c r="E190" s="141" t="n"/>
      <c r="F190" s="142" t="n"/>
      <c r="G190" s="134" t="n"/>
      <c r="H190" s="135" t="n"/>
      <c r="I190" s="136" t="n"/>
      <c r="J190" s="135" t="n"/>
      <c r="K190" s="137" t="n"/>
      <c r="L190" s="138" t="n"/>
    </row>
    <row r="191" ht="27.75" customHeight="1" s="108">
      <c r="A191" s="140" t="n"/>
      <c r="B191" s="140" t="n"/>
      <c r="C191" s="140" t="n"/>
      <c r="D191" s="140" t="n"/>
      <c r="E191" s="141" t="n"/>
      <c r="F191" s="142" t="n"/>
      <c r="G191" s="134" t="n"/>
      <c r="H191" s="135" t="n"/>
      <c r="I191" s="136" t="n"/>
      <c r="J191" s="135" t="n"/>
      <c r="K191" s="137" t="n"/>
      <c r="L191" s="138" t="n"/>
    </row>
    <row r="192" ht="27.75" customHeight="1" s="108">
      <c r="A192" s="140" t="n"/>
      <c r="B192" s="140" t="n"/>
      <c r="C192" s="140" t="n"/>
      <c r="D192" s="140" t="n"/>
      <c r="E192" s="141" t="n"/>
      <c r="F192" s="142" t="n"/>
      <c r="G192" s="134" t="n"/>
      <c r="H192" s="135" t="n"/>
      <c r="I192" s="136" t="n"/>
      <c r="J192" s="135" t="n"/>
      <c r="K192" s="137" t="n"/>
      <c r="L192" s="138" t="n"/>
    </row>
    <row r="193" ht="27.75" customHeight="1" s="108">
      <c r="A193" s="140" t="n"/>
      <c r="B193" s="140" t="n"/>
      <c r="C193" s="140" t="n"/>
      <c r="D193" s="140" t="n"/>
      <c r="E193" s="141" t="n"/>
      <c r="F193" s="142" t="n"/>
      <c r="G193" s="134" t="n"/>
      <c r="H193" s="135" t="n"/>
      <c r="I193" s="136" t="n"/>
      <c r="J193" s="135" t="n"/>
      <c r="K193" s="137" t="n"/>
      <c r="L193" s="138" t="n"/>
    </row>
    <row r="194" ht="27.75" customHeight="1" s="108">
      <c r="A194" s="140" t="n"/>
      <c r="B194" s="140" t="n"/>
      <c r="C194" s="140" t="n"/>
      <c r="D194" s="140" t="n"/>
      <c r="E194" s="141" t="n"/>
      <c r="F194" s="142" t="n"/>
      <c r="G194" s="134" t="n"/>
      <c r="H194" s="135" t="n"/>
      <c r="I194" s="136" t="n"/>
      <c r="J194" s="135" t="n"/>
      <c r="K194" s="137" t="n"/>
      <c r="L194" s="138" t="n"/>
    </row>
    <row r="195" ht="27.75" customHeight="1" s="108">
      <c r="A195" s="140" t="n"/>
      <c r="B195" s="140" t="n"/>
      <c r="C195" s="140" t="n"/>
      <c r="D195" s="140" t="n"/>
      <c r="E195" s="141" t="n"/>
      <c r="F195" s="142" t="n"/>
      <c r="G195" s="134" t="n"/>
      <c r="H195" s="135" t="n"/>
      <c r="I195" s="136" t="n"/>
      <c r="J195" s="135" t="n"/>
      <c r="K195" s="137" t="n"/>
      <c r="L195" s="138" t="n"/>
    </row>
    <row r="196" ht="27.75" customHeight="1" s="108">
      <c r="A196" s="140" t="n"/>
      <c r="B196" s="140" t="n"/>
      <c r="C196" s="140" t="n"/>
      <c r="D196" s="140" t="n"/>
      <c r="E196" s="141" t="n"/>
      <c r="F196" s="142" t="n"/>
      <c r="G196" s="134" t="n"/>
      <c r="H196" s="135" t="n"/>
      <c r="I196" s="136" t="n"/>
      <c r="J196" s="135" t="n"/>
      <c r="K196" s="137" t="n"/>
      <c r="L196" s="138" t="n"/>
    </row>
    <row r="197" ht="27.75" customHeight="1" s="108">
      <c r="A197" s="140" t="n"/>
      <c r="B197" s="140" t="n"/>
      <c r="C197" s="140" t="n"/>
      <c r="D197" s="140" t="n"/>
      <c r="E197" s="141" t="n"/>
      <c r="F197" s="142" t="n"/>
      <c r="G197" s="134" t="n"/>
      <c r="H197" s="135" t="n"/>
      <c r="I197" s="136" t="n"/>
      <c r="J197" s="135" t="n"/>
      <c r="K197" s="137" t="n"/>
      <c r="L197" s="138" t="n"/>
    </row>
    <row r="198" ht="27.75" customHeight="1" s="108">
      <c r="A198" s="140" t="n"/>
      <c r="B198" s="140" t="n"/>
      <c r="C198" s="140" t="n"/>
      <c r="D198" s="140" t="n"/>
      <c r="E198" s="141" t="n"/>
      <c r="F198" s="142" t="n"/>
      <c r="G198" s="134" t="n"/>
      <c r="H198" s="135" t="n"/>
      <c r="I198" s="136" t="n"/>
      <c r="J198" s="135" t="n"/>
      <c r="K198" s="137" t="n"/>
      <c r="L198" s="138" t="n"/>
    </row>
    <row r="199" ht="27.75" customHeight="1" s="108">
      <c r="A199" s="140" t="n"/>
      <c r="B199" s="140" t="n"/>
      <c r="C199" s="140" t="n"/>
      <c r="D199" s="140" t="n"/>
      <c r="E199" s="141" t="n"/>
      <c r="F199" s="142" t="n"/>
      <c r="G199" s="134" t="n"/>
      <c r="H199" s="135" t="n"/>
      <c r="I199" s="136" t="n"/>
      <c r="J199" s="135" t="n"/>
      <c r="K199" s="137" t="n"/>
      <c r="L199" s="138" t="n"/>
    </row>
    <row r="200" ht="27.75" customHeight="1" s="108">
      <c r="A200" s="140" t="n"/>
      <c r="B200" s="140" t="n"/>
      <c r="C200" s="140" t="n"/>
      <c r="D200" s="140" t="n"/>
      <c r="E200" s="141" t="n"/>
      <c r="F200" s="142" t="n"/>
      <c r="G200" s="134" t="n"/>
      <c r="H200" s="135" t="n"/>
      <c r="I200" s="136" t="n"/>
      <c r="J200" s="135" t="n"/>
      <c r="K200" s="137" t="n"/>
      <c r="L200" s="138" t="n"/>
    </row>
    <row r="201" ht="27.75" customHeight="1" s="108">
      <c r="A201" s="140" t="n"/>
      <c r="B201" s="140" t="n"/>
      <c r="C201" s="140" t="n"/>
      <c r="D201" s="140" t="n"/>
      <c r="E201" s="141" t="n"/>
      <c r="F201" s="142" t="n"/>
      <c r="G201" s="134" t="n"/>
      <c r="H201" s="135" t="n"/>
      <c r="I201" s="136" t="n"/>
      <c r="J201" s="135" t="n"/>
      <c r="K201" s="137" t="n"/>
      <c r="L201" s="138" t="n"/>
    </row>
    <row r="202" ht="27.75" customHeight="1" s="108">
      <c r="A202" s="140" t="n"/>
      <c r="B202" s="140" t="n"/>
      <c r="C202" s="140" t="n"/>
      <c r="D202" s="140" t="n"/>
      <c r="E202" s="141" t="n"/>
      <c r="F202" s="142" t="n"/>
      <c r="G202" s="134" t="n"/>
      <c r="H202" s="135" t="n"/>
      <c r="I202" s="136" t="n"/>
      <c r="J202" s="135" t="n"/>
      <c r="K202" s="137" t="n"/>
      <c r="L202" s="138" t="n"/>
    </row>
    <row r="203" ht="27.75" customHeight="1" s="108">
      <c r="A203" s="140" t="n"/>
      <c r="B203" s="140" t="n"/>
      <c r="C203" s="140" t="n"/>
      <c r="D203" s="140" t="n"/>
      <c r="E203" s="141" t="n"/>
      <c r="F203" s="142" t="n"/>
      <c r="G203" s="134" t="n"/>
      <c r="H203" s="135" t="n"/>
      <c r="I203" s="136" t="n"/>
      <c r="J203" s="135" t="n"/>
      <c r="K203" s="137" t="n"/>
      <c r="L203" s="138" t="n"/>
    </row>
    <row r="204" ht="27.75" customHeight="1" s="108">
      <c r="A204" s="140" t="n"/>
      <c r="B204" s="140" t="n"/>
      <c r="C204" s="140" t="n"/>
      <c r="D204" s="140" t="n"/>
      <c r="E204" s="141" t="n"/>
      <c r="F204" s="142" t="n"/>
      <c r="G204" s="134" t="n"/>
      <c r="H204" s="135" t="n"/>
      <c r="I204" s="136" t="n"/>
      <c r="J204" s="135" t="n"/>
      <c r="K204" s="137" t="n"/>
      <c r="L204" s="138" t="n"/>
    </row>
    <row r="205" ht="27.75" customHeight="1" s="108">
      <c r="A205" s="140" t="n"/>
      <c r="B205" s="140" t="n"/>
      <c r="C205" s="140" t="n"/>
      <c r="D205" s="140" t="n"/>
      <c r="E205" s="141" t="n"/>
      <c r="F205" s="142" t="n"/>
      <c r="G205" s="134" t="n"/>
      <c r="H205" s="135" t="n"/>
      <c r="I205" s="136" t="n"/>
      <c r="J205" s="135" t="n"/>
      <c r="K205" s="137" t="n"/>
      <c r="L205" s="138" t="n"/>
    </row>
    <row r="206" ht="27.75" customHeight="1" s="108">
      <c r="A206" s="140" t="n"/>
      <c r="B206" s="140" t="n"/>
      <c r="C206" s="140" t="n"/>
      <c r="D206" s="140" t="n"/>
      <c r="E206" s="141" t="n"/>
      <c r="F206" s="142" t="n"/>
      <c r="G206" s="134" t="n"/>
      <c r="H206" s="135" t="n"/>
      <c r="I206" s="136" t="n"/>
      <c r="J206" s="135" t="n"/>
      <c r="K206" s="137" t="n"/>
      <c r="L206" s="138" t="n"/>
    </row>
    <row r="207" ht="27.75" customHeight="1" s="108">
      <c r="A207" s="140" t="n"/>
      <c r="B207" s="140" t="n"/>
      <c r="C207" s="140" t="n"/>
      <c r="D207" s="140" t="n"/>
      <c r="E207" s="141" t="n"/>
      <c r="F207" s="142" t="n"/>
      <c r="G207" s="134" t="n"/>
      <c r="H207" s="135" t="n"/>
      <c r="I207" s="136" t="n"/>
      <c r="J207" s="135" t="n"/>
      <c r="K207" s="137" t="n"/>
      <c r="L207" s="138" t="n"/>
    </row>
    <row r="208" ht="27.75" customHeight="1" s="108">
      <c r="A208" s="140" t="n"/>
      <c r="B208" s="140" t="n"/>
      <c r="C208" s="140" t="n"/>
      <c r="D208" s="140" t="n"/>
      <c r="E208" s="141" t="n"/>
      <c r="F208" s="142" t="n"/>
      <c r="G208" s="134" t="n"/>
      <c r="H208" s="135" t="n"/>
      <c r="I208" s="136" t="n"/>
      <c r="J208" s="135" t="n"/>
      <c r="K208" s="137" t="n"/>
      <c r="L208" s="138" t="n"/>
    </row>
    <row r="209" ht="27.75" customHeight="1" s="108">
      <c r="A209" s="140" t="n"/>
      <c r="B209" s="140" t="n"/>
      <c r="C209" s="140" t="n"/>
      <c r="D209" s="140" t="n"/>
      <c r="E209" s="141" t="n"/>
      <c r="F209" s="142" t="n"/>
      <c r="G209" s="134" t="n"/>
      <c r="H209" s="135" t="n"/>
      <c r="I209" s="136" t="n"/>
      <c r="J209" s="135" t="n"/>
      <c r="K209" s="137" t="n"/>
      <c r="L209" s="138" t="n"/>
    </row>
    <row r="210" ht="27.75" customHeight="1" s="108">
      <c r="A210" s="140" t="n"/>
      <c r="B210" s="140" t="n"/>
      <c r="C210" s="140" t="n"/>
      <c r="D210" s="140" t="n"/>
      <c r="E210" s="141" t="n"/>
      <c r="F210" s="142" t="n"/>
      <c r="G210" s="134" t="n"/>
      <c r="H210" s="135" t="n"/>
      <c r="I210" s="136" t="n"/>
      <c r="J210" s="135" t="n"/>
      <c r="K210" s="137" t="n"/>
      <c r="L210" s="138" t="n"/>
    </row>
    <row r="211" ht="27.75" customHeight="1" s="108">
      <c r="A211" s="140" t="n"/>
      <c r="B211" s="140" t="n"/>
      <c r="C211" s="140" t="n"/>
      <c r="D211" s="140" t="n"/>
      <c r="E211" s="141" t="n"/>
      <c r="F211" s="142" t="n"/>
      <c r="G211" s="134" t="n"/>
      <c r="H211" s="135" t="n"/>
      <c r="I211" s="136" t="n"/>
      <c r="J211" s="135" t="n"/>
      <c r="K211" s="137" t="n"/>
      <c r="L211" s="138" t="n"/>
    </row>
    <row r="212" ht="27.75" customHeight="1" s="108">
      <c r="A212" s="140" t="n"/>
      <c r="B212" s="140" t="n"/>
      <c r="C212" s="140" t="n"/>
      <c r="D212" s="140" t="n"/>
      <c r="E212" s="141" t="n"/>
      <c r="F212" s="142" t="n"/>
      <c r="G212" s="134" t="n"/>
      <c r="H212" s="135" t="n"/>
      <c r="I212" s="136" t="n"/>
      <c r="J212" s="135" t="n"/>
      <c r="K212" s="137" t="n"/>
      <c r="L212" s="138" t="n"/>
    </row>
    <row r="213" ht="27.75" customHeight="1" s="108">
      <c r="A213" s="140" t="n"/>
      <c r="B213" s="140" t="n"/>
      <c r="C213" s="140" t="n"/>
      <c r="D213" s="140" t="n"/>
      <c r="E213" s="141" t="n"/>
      <c r="F213" s="142" t="n"/>
      <c r="G213" s="134" t="n"/>
      <c r="H213" s="135" t="n"/>
      <c r="I213" s="136" t="n"/>
      <c r="J213" s="135" t="n"/>
      <c r="K213" s="137" t="n"/>
      <c r="L213" s="138" t="n"/>
    </row>
    <row r="214" ht="27.75" customHeight="1" s="108">
      <c r="A214" s="140" t="n"/>
      <c r="B214" s="140" t="n"/>
      <c r="C214" s="140" t="n"/>
      <c r="D214" s="140" t="n"/>
      <c r="E214" s="141" t="n"/>
      <c r="F214" s="142" t="n"/>
      <c r="G214" s="134" t="n"/>
      <c r="H214" s="135" t="n"/>
      <c r="I214" s="136" t="n"/>
      <c r="J214" s="135" t="n"/>
      <c r="K214" s="137" t="n"/>
      <c r="L214" s="138" t="n"/>
    </row>
    <row r="215" ht="27.75" customHeight="1" s="108">
      <c r="A215" s="140" t="n"/>
      <c r="B215" s="140" t="n"/>
      <c r="C215" s="140" t="n"/>
      <c r="D215" s="140" t="n"/>
      <c r="E215" s="141" t="n"/>
      <c r="F215" s="142" t="n"/>
      <c r="G215" s="134" t="n"/>
      <c r="H215" s="135" t="n"/>
      <c r="I215" s="136" t="n"/>
      <c r="J215" s="135" t="n"/>
      <c r="K215" s="137" t="n"/>
      <c r="L215" s="138" t="n"/>
    </row>
    <row r="216" ht="27.75" customHeight="1" s="108">
      <c r="A216" s="140" t="n"/>
      <c r="B216" s="140" t="n"/>
      <c r="C216" s="140" t="n"/>
      <c r="D216" s="140" t="n"/>
      <c r="E216" s="141" t="n"/>
      <c r="F216" s="142" t="n"/>
      <c r="G216" s="134" t="n"/>
      <c r="H216" s="135" t="n"/>
      <c r="I216" s="136" t="n"/>
      <c r="J216" s="135" t="n"/>
      <c r="K216" s="137" t="n"/>
      <c r="L216" s="138" t="n"/>
    </row>
    <row r="217" ht="27.75" customHeight="1" s="108">
      <c r="A217" s="140" t="n"/>
      <c r="B217" s="140" t="n"/>
      <c r="C217" s="140" t="n"/>
      <c r="D217" s="140" t="n"/>
      <c r="E217" s="141" t="n"/>
      <c r="F217" s="142" t="n"/>
      <c r="G217" s="134" t="n"/>
      <c r="H217" s="135" t="n"/>
      <c r="I217" s="136" t="n"/>
      <c r="J217" s="135" t="n"/>
      <c r="K217" s="137" t="n"/>
      <c r="L217" s="138" t="n"/>
    </row>
    <row r="218" ht="27.75" customHeight="1" s="108">
      <c r="A218" s="140" t="n"/>
      <c r="B218" s="140" t="n"/>
      <c r="C218" s="140" t="n"/>
      <c r="D218" s="140" t="n"/>
      <c r="E218" s="141" t="n"/>
      <c r="F218" s="142" t="n"/>
      <c r="G218" s="134" t="n"/>
      <c r="H218" s="135" t="n"/>
      <c r="I218" s="136" t="n"/>
      <c r="J218" s="135" t="n"/>
      <c r="K218" s="137" t="n"/>
      <c r="L218" s="138" t="n"/>
    </row>
    <row r="219" ht="27.75" customHeight="1" s="108">
      <c r="A219" s="140" t="n"/>
      <c r="B219" s="140" t="n"/>
      <c r="C219" s="140" t="n"/>
      <c r="D219" s="140" t="n"/>
      <c r="E219" s="141" t="n"/>
      <c r="F219" s="142" t="n"/>
      <c r="G219" s="134" t="n"/>
      <c r="H219" s="135" t="n"/>
      <c r="I219" s="136" t="n"/>
      <c r="J219" s="135" t="n"/>
      <c r="K219" s="137" t="n"/>
      <c r="L219" s="138" t="n"/>
    </row>
    <row r="220" ht="27.75" customHeight="1" s="108">
      <c r="A220" s="140" t="n"/>
      <c r="B220" s="140" t="n"/>
      <c r="C220" s="140" t="n"/>
      <c r="D220" s="140" t="n"/>
      <c r="E220" s="141" t="n"/>
      <c r="F220" s="142" t="n"/>
      <c r="G220" s="134" t="n"/>
      <c r="H220" s="135" t="n"/>
      <c r="I220" s="136" t="n"/>
      <c r="J220" s="135" t="n"/>
      <c r="K220" s="137" t="n"/>
      <c r="L220" s="138" t="n"/>
    </row>
    <row r="221" ht="27.75" customHeight="1" s="108">
      <c r="A221" s="140" t="n"/>
      <c r="B221" s="140" t="n"/>
      <c r="C221" s="140" t="n"/>
      <c r="D221" s="140" t="n"/>
      <c r="E221" s="141" t="n"/>
      <c r="F221" s="142" t="n"/>
      <c r="G221" s="134" t="n"/>
      <c r="H221" s="135" t="n"/>
      <c r="I221" s="136" t="n"/>
      <c r="J221" s="135" t="n"/>
      <c r="K221" s="137" t="n"/>
      <c r="L221" s="138" t="n"/>
    </row>
    <row r="222" ht="27.75" customHeight="1" s="108">
      <c r="A222" s="140" t="n"/>
      <c r="B222" s="140" t="n"/>
      <c r="C222" s="140" t="n"/>
      <c r="D222" s="140" t="n"/>
      <c r="E222" s="141" t="n"/>
      <c r="F222" s="142" t="n"/>
      <c r="G222" s="134" t="n"/>
      <c r="H222" s="135" t="n"/>
      <c r="I222" s="136" t="n"/>
      <c r="J222" s="135" t="n"/>
      <c r="K222" s="137" t="n"/>
      <c r="L222" s="138" t="n"/>
    </row>
    <row r="223" ht="27.75" customHeight="1" s="108">
      <c r="A223" s="140" t="n"/>
      <c r="B223" s="140" t="n"/>
      <c r="C223" s="140" t="n"/>
      <c r="D223" s="140" t="n"/>
      <c r="E223" s="141" t="n"/>
      <c r="F223" s="142" t="n"/>
      <c r="G223" s="134" t="n"/>
      <c r="H223" s="135" t="n"/>
      <c r="I223" s="136" t="n"/>
      <c r="J223" s="135" t="n"/>
      <c r="K223" s="137" t="n"/>
      <c r="L223" s="138" t="n"/>
    </row>
    <row r="224" ht="27.75" customHeight="1" s="108">
      <c r="A224" s="140" t="n"/>
      <c r="B224" s="140" t="n"/>
      <c r="C224" s="140" t="n"/>
      <c r="D224" s="140" t="n"/>
      <c r="E224" s="141" t="n"/>
      <c r="F224" s="142" t="n"/>
      <c r="G224" s="134" t="n"/>
      <c r="H224" s="135" t="n"/>
      <c r="I224" s="136" t="n"/>
      <c r="J224" s="135" t="n"/>
      <c r="K224" s="137" t="n"/>
      <c r="L224" s="138" t="n"/>
    </row>
    <row r="225" ht="27.75" customHeight="1" s="108">
      <c r="A225" s="140" t="n"/>
      <c r="B225" s="140" t="n"/>
      <c r="C225" s="140" t="n"/>
      <c r="D225" s="140" t="n"/>
      <c r="E225" s="141" t="n"/>
      <c r="F225" s="142" t="n"/>
      <c r="G225" s="134" t="n"/>
      <c r="H225" s="135" t="n"/>
      <c r="I225" s="136" t="n"/>
      <c r="J225" s="135" t="n"/>
      <c r="K225" s="137" t="n"/>
      <c r="L225" s="138" t="n"/>
    </row>
    <row r="226" ht="27.75" customHeight="1" s="108">
      <c r="A226" s="140" t="n"/>
      <c r="B226" s="140" t="n"/>
      <c r="C226" s="140" t="n"/>
      <c r="D226" s="140" t="n"/>
      <c r="E226" s="141" t="n"/>
      <c r="F226" s="142" t="n"/>
      <c r="G226" s="134" t="n"/>
      <c r="H226" s="135" t="n"/>
      <c r="I226" s="136" t="n"/>
      <c r="J226" s="135" t="n"/>
      <c r="K226" s="137" t="n"/>
      <c r="L226" s="138" t="n"/>
    </row>
    <row r="227" ht="27.75" customHeight="1" s="108">
      <c r="A227" s="140" t="n"/>
      <c r="B227" s="140" t="n"/>
      <c r="C227" s="140" t="n"/>
      <c r="D227" s="140" t="n"/>
      <c r="E227" s="141" t="n"/>
      <c r="F227" s="142" t="n"/>
      <c r="G227" s="134" t="n"/>
      <c r="H227" s="135" t="n"/>
      <c r="I227" s="136" t="n"/>
      <c r="J227" s="135" t="n"/>
      <c r="K227" s="137" t="n"/>
      <c r="L227" s="138" t="n"/>
    </row>
    <row r="228" ht="27.75" customHeight="1" s="108">
      <c r="A228" s="140" t="n"/>
      <c r="B228" s="140" t="n"/>
      <c r="C228" s="140" t="n"/>
      <c r="D228" s="140" t="n"/>
      <c r="E228" s="141" t="n"/>
      <c r="F228" s="142" t="n"/>
      <c r="G228" s="134" t="n"/>
      <c r="H228" s="135" t="n"/>
      <c r="I228" s="136" t="n"/>
      <c r="J228" s="135" t="n"/>
      <c r="K228" s="137" t="n"/>
      <c r="L228" s="138" t="n"/>
    </row>
    <row r="229" ht="27.75" customHeight="1" s="108">
      <c r="A229" s="140" t="n"/>
      <c r="B229" s="140" t="n"/>
      <c r="C229" s="140" t="n"/>
      <c r="D229" s="140" t="n"/>
      <c r="E229" s="141" t="n"/>
      <c r="F229" s="142" t="n"/>
      <c r="G229" s="134" t="n"/>
      <c r="H229" s="135" t="n"/>
      <c r="I229" s="136" t="n"/>
      <c r="J229" s="135" t="n"/>
      <c r="K229" s="137" t="n"/>
      <c r="L229" s="138" t="n"/>
    </row>
    <row r="230" ht="27.75" customHeight="1" s="108">
      <c r="A230" s="140" t="n"/>
      <c r="B230" s="140" t="n"/>
      <c r="C230" s="140" t="n"/>
      <c r="D230" s="140" t="n"/>
      <c r="E230" s="141" t="n"/>
      <c r="F230" s="142" t="n"/>
      <c r="G230" s="134" t="n"/>
      <c r="H230" s="135" t="n"/>
      <c r="I230" s="136" t="n"/>
      <c r="J230" s="135" t="n"/>
      <c r="K230" s="137" t="n"/>
      <c r="L230" s="138" t="n"/>
    </row>
    <row r="231" ht="27.75" customHeight="1" s="108">
      <c r="A231" s="140" t="n"/>
      <c r="B231" s="140" t="n"/>
      <c r="C231" s="140" t="n"/>
      <c r="D231" s="140" t="n"/>
      <c r="E231" s="141" t="n"/>
      <c r="F231" s="142" t="n"/>
      <c r="G231" s="134" t="n"/>
      <c r="H231" s="135" t="n"/>
      <c r="I231" s="136" t="n"/>
      <c r="J231" s="135" t="n"/>
      <c r="K231" s="137" t="n"/>
      <c r="L231" s="138" t="n"/>
    </row>
    <row r="232" ht="27.75" customHeight="1" s="108">
      <c r="A232" s="140" t="n"/>
      <c r="B232" s="140" t="n"/>
      <c r="C232" s="140" t="n"/>
      <c r="D232" s="140" t="n"/>
      <c r="E232" s="141" t="n"/>
      <c r="F232" s="142" t="n"/>
      <c r="G232" s="134" t="n"/>
      <c r="H232" s="135" t="n"/>
      <c r="I232" s="136" t="n"/>
      <c r="J232" s="135" t="n"/>
      <c r="K232" s="137" t="n"/>
      <c r="L232" s="138" t="n"/>
    </row>
    <row r="233" ht="27.75" customHeight="1" s="108">
      <c r="A233" s="140" t="n"/>
      <c r="B233" s="140" t="n"/>
      <c r="C233" s="140" t="n"/>
      <c r="D233" s="140" t="n"/>
      <c r="E233" s="141" t="n"/>
      <c r="F233" s="142" t="n"/>
      <c r="G233" s="134" t="n"/>
      <c r="H233" s="135" t="n"/>
      <c r="I233" s="136" t="n"/>
      <c r="J233" s="135" t="n"/>
      <c r="K233" s="137" t="n"/>
      <c r="L233" s="138" t="n"/>
    </row>
    <row r="234" ht="27.75" customHeight="1" s="108">
      <c r="A234" s="140" t="n"/>
      <c r="B234" s="140" t="n"/>
      <c r="C234" s="140" t="n"/>
      <c r="D234" s="140" t="n"/>
      <c r="E234" s="141" t="n"/>
      <c r="F234" s="142" t="n"/>
      <c r="G234" s="134" t="n"/>
      <c r="H234" s="135" t="n"/>
      <c r="I234" s="136" t="n"/>
      <c r="J234" s="135" t="n"/>
      <c r="K234" s="137" t="n"/>
      <c r="L234" s="138" t="n"/>
    </row>
    <row r="235" ht="27.75" customHeight="1" s="108">
      <c r="A235" s="140" t="n"/>
      <c r="B235" s="140" t="n"/>
      <c r="C235" s="140" t="n"/>
      <c r="D235" s="140" t="n"/>
      <c r="E235" s="141" t="n"/>
      <c r="F235" s="142" t="n"/>
      <c r="G235" s="134" t="n"/>
      <c r="H235" s="135" t="n"/>
      <c r="I235" s="136" t="n"/>
      <c r="J235" s="135" t="n"/>
      <c r="K235" s="137" t="n"/>
      <c r="L235" s="138" t="n"/>
    </row>
    <row r="236" ht="27.75" customHeight="1" s="108">
      <c r="A236" s="140" t="n"/>
      <c r="B236" s="140" t="n"/>
      <c r="C236" s="140" t="n"/>
      <c r="D236" s="140" t="n"/>
      <c r="E236" s="141" t="n"/>
      <c r="F236" s="142" t="n"/>
      <c r="G236" s="134" t="n"/>
      <c r="H236" s="135" t="n"/>
      <c r="I236" s="136" t="n"/>
      <c r="J236" s="135" t="n"/>
      <c r="K236" s="137" t="n"/>
      <c r="L236" s="138" t="n"/>
    </row>
    <row r="237" ht="27.75" customHeight="1" s="108">
      <c r="A237" s="140" t="n"/>
      <c r="B237" s="140" t="n"/>
      <c r="C237" s="140" t="n"/>
      <c r="D237" s="140" t="n"/>
      <c r="E237" s="141" t="n"/>
      <c r="F237" s="142" t="n"/>
      <c r="G237" s="134" t="n"/>
      <c r="H237" s="135" t="n"/>
      <c r="I237" s="136" t="n"/>
      <c r="J237" s="135" t="n"/>
      <c r="K237" s="137" t="n"/>
      <c r="L237" s="138" t="n"/>
    </row>
    <row r="238" ht="27.75" customHeight="1" s="108">
      <c r="A238" s="140" t="n"/>
      <c r="B238" s="140" t="n"/>
      <c r="C238" s="140" t="n"/>
      <c r="D238" s="140" t="n"/>
      <c r="E238" s="141" t="n"/>
      <c r="F238" s="142" t="n"/>
      <c r="G238" s="134" t="n"/>
      <c r="H238" s="135" t="n"/>
      <c r="I238" s="136" t="n"/>
      <c r="J238" s="135" t="n"/>
      <c r="K238" s="137" t="n"/>
      <c r="L238" s="138" t="n"/>
    </row>
    <row r="239" ht="27.75" customHeight="1" s="108">
      <c r="A239" s="140" t="n"/>
      <c r="B239" s="140" t="n"/>
      <c r="C239" s="140" t="n"/>
      <c r="D239" s="140" t="n"/>
      <c r="E239" s="141" t="n"/>
      <c r="F239" s="142" t="n"/>
      <c r="G239" s="134" t="n"/>
      <c r="H239" s="135" t="n"/>
      <c r="I239" s="136" t="n"/>
      <c r="J239" s="135" t="n"/>
      <c r="K239" s="137" t="n"/>
      <c r="L239" s="138" t="n"/>
    </row>
    <row r="240" ht="27.75" customHeight="1" s="108">
      <c r="A240" s="140" t="n"/>
      <c r="B240" s="140" t="n"/>
      <c r="C240" s="140" t="n"/>
      <c r="D240" s="140" t="n"/>
      <c r="E240" s="141" t="n"/>
      <c r="F240" s="142" t="n"/>
      <c r="G240" s="134" t="n"/>
      <c r="H240" s="135" t="n"/>
      <c r="I240" s="136" t="n"/>
      <c r="J240" s="135" t="n"/>
      <c r="K240" s="137" t="n"/>
      <c r="L240" s="138" t="n"/>
    </row>
    <row r="241" ht="27.75" customHeight="1" s="108">
      <c r="A241" s="140" t="n"/>
      <c r="B241" s="140" t="n"/>
      <c r="C241" s="140" t="n"/>
      <c r="D241" s="140" t="n"/>
      <c r="E241" s="141" t="n"/>
      <c r="F241" s="142" t="n"/>
      <c r="G241" s="134" t="n"/>
      <c r="H241" s="135" t="n"/>
      <c r="I241" s="136" t="n"/>
      <c r="J241" s="135" t="n"/>
      <c r="K241" s="137" t="n"/>
      <c r="L241" s="138" t="n"/>
    </row>
    <row r="242" ht="27.75" customHeight="1" s="108">
      <c r="A242" s="140" t="n"/>
      <c r="B242" s="140" t="n"/>
      <c r="C242" s="140" t="n"/>
      <c r="D242" s="140" t="n"/>
      <c r="E242" s="141" t="n"/>
      <c r="F242" s="142" t="n"/>
      <c r="G242" s="134" t="n"/>
      <c r="H242" s="135" t="n"/>
      <c r="I242" s="136" t="n"/>
      <c r="J242" s="135" t="n"/>
      <c r="K242" s="137" t="n"/>
      <c r="L242" s="138" t="n"/>
    </row>
    <row r="243" ht="27.75" customHeight="1" s="108">
      <c r="A243" s="140" t="n"/>
      <c r="B243" s="140" t="n"/>
      <c r="C243" s="140" t="n"/>
      <c r="D243" s="140" t="n"/>
      <c r="E243" s="141" t="n"/>
      <c r="F243" s="142" t="n"/>
      <c r="G243" s="134" t="n"/>
      <c r="H243" s="135" t="n"/>
      <c r="I243" s="136" t="n"/>
      <c r="J243" s="135" t="n"/>
      <c r="K243" s="137" t="n"/>
      <c r="L243" s="138" t="n"/>
    </row>
    <row r="244" ht="27.75" customHeight="1" s="108">
      <c r="A244" s="140" t="n"/>
      <c r="B244" s="140" t="n"/>
      <c r="C244" s="140" t="n"/>
      <c r="D244" s="140" t="n"/>
      <c r="E244" s="141" t="n"/>
      <c r="F244" s="142" t="n"/>
      <c r="G244" s="134" t="n"/>
      <c r="H244" s="135" t="n"/>
      <c r="I244" s="136" t="n"/>
      <c r="J244" s="135" t="n"/>
      <c r="K244" s="137" t="n"/>
      <c r="L244" s="138" t="n"/>
    </row>
    <row r="245" ht="27.75" customHeight="1" s="108">
      <c r="A245" s="140" t="n"/>
      <c r="B245" s="140" t="n"/>
      <c r="C245" s="140" t="n"/>
      <c r="D245" s="140" t="n"/>
      <c r="E245" s="141" t="n"/>
      <c r="F245" s="142" t="n"/>
      <c r="G245" s="134" t="n"/>
      <c r="H245" s="135" t="n"/>
      <c r="I245" s="136" t="n"/>
      <c r="J245" s="135" t="n"/>
      <c r="K245" s="137" t="n"/>
      <c r="L245" s="138" t="n"/>
    </row>
    <row r="246" ht="27.75" customHeight="1" s="108">
      <c r="A246" s="140" t="n"/>
      <c r="B246" s="140" t="n"/>
      <c r="C246" s="140" t="n"/>
      <c r="D246" s="140" t="n"/>
      <c r="E246" s="141" t="n"/>
      <c r="F246" s="142" t="n"/>
      <c r="G246" s="134" t="n"/>
      <c r="H246" s="135" t="n"/>
      <c r="I246" s="136" t="n"/>
      <c r="J246" s="135" t="n"/>
      <c r="K246" s="137" t="n"/>
      <c r="L246" s="138" t="n"/>
    </row>
    <row r="247" ht="27.75" customHeight="1" s="108">
      <c r="A247" s="140" t="n"/>
      <c r="B247" s="140" t="n"/>
      <c r="C247" s="140" t="n"/>
      <c r="D247" s="140" t="n"/>
      <c r="E247" s="141" t="n"/>
      <c r="F247" s="142" t="n"/>
      <c r="G247" s="134" t="n"/>
      <c r="H247" s="135" t="n"/>
      <c r="I247" s="136" t="n"/>
      <c r="J247" s="135" t="n"/>
      <c r="K247" s="137" t="n"/>
      <c r="L247" s="138" t="n"/>
    </row>
    <row r="248" ht="27.75" customHeight="1" s="108">
      <c r="A248" s="140" t="n"/>
      <c r="B248" s="140" t="n"/>
      <c r="C248" s="140" t="n"/>
      <c r="D248" s="140" t="n"/>
      <c r="E248" s="141" t="n"/>
      <c r="F248" s="142" t="n"/>
      <c r="G248" s="134" t="n"/>
      <c r="H248" s="135" t="n"/>
      <c r="I248" s="136" t="n"/>
      <c r="J248" s="135" t="n"/>
      <c r="K248" s="137" t="n"/>
      <c r="L248" s="138" t="n"/>
    </row>
    <row r="249" ht="27.75" customHeight="1" s="108">
      <c r="A249" s="140" t="n"/>
      <c r="B249" s="140" t="n"/>
      <c r="C249" s="140" t="n"/>
      <c r="D249" s="140" t="n"/>
      <c r="E249" s="141" t="n"/>
      <c r="F249" s="142" t="n"/>
      <c r="G249" s="134" t="n"/>
      <c r="H249" s="135" t="n"/>
      <c r="I249" s="136" t="n"/>
      <c r="J249" s="135" t="n"/>
      <c r="K249" s="137" t="n"/>
      <c r="L249" s="138" t="n"/>
    </row>
    <row r="250" ht="27.75" customHeight="1" s="108">
      <c r="A250" s="140" t="n"/>
      <c r="B250" s="140" t="n"/>
      <c r="C250" s="140" t="n"/>
      <c r="D250" s="140" t="n"/>
      <c r="E250" s="141" t="n"/>
      <c r="F250" s="142" t="n"/>
      <c r="G250" s="134" t="n"/>
      <c r="H250" s="135" t="n"/>
      <c r="I250" s="136" t="n"/>
      <c r="J250" s="135" t="n"/>
      <c r="K250" s="137" t="n"/>
      <c r="L250" s="138" t="n"/>
    </row>
    <row r="251" ht="27.75" customHeight="1" s="108">
      <c r="A251" s="140" t="n"/>
      <c r="B251" s="140" t="n"/>
      <c r="C251" s="140" t="n"/>
      <c r="D251" s="140" t="n"/>
      <c r="E251" s="141" t="n"/>
      <c r="F251" s="142" t="n"/>
      <c r="G251" s="134" t="n"/>
      <c r="H251" s="135" t="n"/>
      <c r="I251" s="136" t="n"/>
      <c r="J251" s="135" t="n"/>
      <c r="K251" s="137" t="n"/>
      <c r="L251" s="138" t="n"/>
    </row>
    <row r="252" ht="27.75" customHeight="1" s="108">
      <c r="A252" s="140" t="n"/>
      <c r="B252" s="140" t="n"/>
      <c r="C252" s="140" t="n"/>
      <c r="D252" s="140" t="n"/>
      <c r="E252" s="141" t="n"/>
      <c r="F252" s="142" t="n"/>
      <c r="G252" s="134" t="n"/>
      <c r="H252" s="135" t="n"/>
      <c r="I252" s="136" t="n"/>
      <c r="J252" s="135" t="n"/>
      <c r="K252" s="137" t="n"/>
      <c r="L252" s="138" t="n"/>
    </row>
    <row r="253" ht="27.75" customHeight="1" s="108">
      <c r="A253" s="140" t="n"/>
      <c r="B253" s="140" t="n"/>
      <c r="C253" s="140" t="n"/>
      <c r="D253" s="140" t="n"/>
      <c r="E253" s="141" t="n"/>
      <c r="F253" s="142" t="n"/>
      <c r="G253" s="134" t="n"/>
      <c r="H253" s="135" t="n"/>
      <c r="I253" s="136" t="n"/>
      <c r="J253" s="135" t="n"/>
      <c r="K253" s="137" t="n"/>
      <c r="L253" s="138" t="n"/>
    </row>
    <row r="254" ht="27.75" customHeight="1" s="108">
      <c r="A254" s="140" t="n"/>
      <c r="B254" s="140" t="n"/>
      <c r="C254" s="140" t="n"/>
      <c r="D254" s="140" t="n"/>
      <c r="E254" s="141" t="n"/>
      <c r="F254" s="142" t="n"/>
      <c r="G254" s="134" t="n"/>
      <c r="H254" s="135" t="n"/>
      <c r="I254" s="136" t="n"/>
      <c r="J254" s="135" t="n"/>
      <c r="K254" s="137" t="n"/>
      <c r="L254" s="138" t="n"/>
    </row>
    <row r="255" ht="27.75" customHeight="1" s="108">
      <c r="A255" s="140" t="n"/>
      <c r="B255" s="140" t="n"/>
      <c r="C255" s="140" t="n"/>
      <c r="D255" s="140" t="n"/>
      <c r="E255" s="141" t="n"/>
      <c r="F255" s="142" t="n"/>
      <c r="G255" s="134" t="n"/>
      <c r="H255" s="135" t="n"/>
      <c r="I255" s="136" t="n"/>
      <c r="J255" s="135" t="n"/>
      <c r="K255" s="137" t="n"/>
      <c r="L255" s="138" t="n"/>
    </row>
    <row r="256" ht="27.75" customHeight="1" s="108">
      <c r="A256" s="140" t="n"/>
      <c r="B256" s="140" t="n"/>
      <c r="C256" s="140" t="n"/>
      <c r="D256" s="140" t="n"/>
      <c r="E256" s="141" t="n"/>
      <c r="F256" s="142" t="n"/>
      <c r="G256" s="134" t="n"/>
      <c r="H256" s="135" t="n"/>
      <c r="I256" s="136" t="n"/>
      <c r="J256" s="135" t="n"/>
      <c r="K256" s="137" t="n"/>
      <c r="L256" s="138" t="n"/>
    </row>
    <row r="257" ht="27.75" customHeight="1" s="108">
      <c r="A257" s="140" t="n"/>
      <c r="B257" s="140" t="n"/>
      <c r="C257" s="140" t="n"/>
      <c r="D257" s="140" t="n"/>
      <c r="E257" s="141" t="n"/>
      <c r="F257" s="142" t="n"/>
      <c r="G257" s="134" t="n"/>
      <c r="H257" s="135" t="n"/>
      <c r="I257" s="136" t="n"/>
      <c r="J257" s="135" t="n"/>
      <c r="K257" s="137" t="n"/>
      <c r="L257" s="138" t="n"/>
    </row>
    <row r="258" ht="27.75" customHeight="1" s="108">
      <c r="A258" s="140" t="n"/>
      <c r="B258" s="140" t="n"/>
      <c r="C258" s="140" t="n"/>
      <c r="D258" s="140" t="n"/>
      <c r="E258" s="141" t="n"/>
      <c r="F258" s="142" t="n"/>
      <c r="G258" s="134" t="n"/>
      <c r="H258" s="135" t="n"/>
      <c r="I258" s="136" t="n"/>
      <c r="J258" s="135" t="n"/>
      <c r="K258" s="137" t="n"/>
      <c r="L258" s="138" t="n"/>
    </row>
    <row r="259" ht="27.75" customHeight="1" s="108">
      <c r="A259" s="140" t="n"/>
      <c r="B259" s="140" t="n"/>
      <c r="C259" s="140" t="n"/>
      <c r="D259" s="140" t="n"/>
      <c r="E259" s="141" t="n"/>
      <c r="F259" s="142" t="n"/>
      <c r="G259" s="134" t="n"/>
      <c r="H259" s="135" t="n"/>
      <c r="I259" s="136" t="n"/>
      <c r="J259" s="135" t="n"/>
      <c r="K259" s="137" t="n"/>
      <c r="L259" s="138" t="n"/>
    </row>
    <row r="260" ht="27.75" customHeight="1" s="108">
      <c r="A260" s="140" t="n"/>
      <c r="B260" s="140" t="n"/>
      <c r="C260" s="140" t="n"/>
      <c r="D260" s="140" t="n"/>
      <c r="E260" s="141" t="n"/>
      <c r="F260" s="142" t="n"/>
      <c r="G260" s="134" t="n"/>
      <c r="H260" s="135" t="n"/>
      <c r="I260" s="136" t="n"/>
      <c r="J260" s="135" t="n"/>
      <c r="K260" s="137" t="n"/>
      <c r="L260" s="138" t="n"/>
    </row>
    <row r="261" ht="27.75" customHeight="1" s="108">
      <c r="A261" s="140" t="n"/>
      <c r="B261" s="140" t="n"/>
      <c r="C261" s="140" t="n"/>
      <c r="D261" s="140" t="n"/>
      <c r="E261" s="141" t="n"/>
      <c r="F261" s="142" t="n"/>
      <c r="G261" s="134" t="n"/>
      <c r="H261" s="135" t="n"/>
      <c r="I261" s="136" t="n"/>
      <c r="J261" s="135" t="n"/>
      <c r="K261" s="137" t="n"/>
      <c r="L261" s="138" t="n"/>
    </row>
    <row r="262" ht="27.75" customHeight="1" s="108">
      <c r="A262" s="140" t="n"/>
      <c r="B262" s="140" t="n"/>
      <c r="C262" s="140" t="n"/>
      <c r="D262" s="140" t="n"/>
      <c r="E262" s="141" t="n"/>
      <c r="F262" s="142" t="n"/>
      <c r="G262" s="134" t="n"/>
      <c r="H262" s="135" t="n"/>
      <c r="I262" s="136" t="n"/>
      <c r="J262" s="135" t="n"/>
      <c r="K262" s="137" t="n"/>
      <c r="L262" s="138" t="n"/>
    </row>
    <row r="263" ht="27.75" customHeight="1" s="108">
      <c r="A263" s="140" t="n"/>
      <c r="B263" s="140" t="n"/>
      <c r="C263" s="140" t="n"/>
      <c r="D263" s="140" t="n"/>
      <c r="E263" s="141" t="n"/>
      <c r="F263" s="142" t="n"/>
      <c r="G263" s="134" t="n"/>
      <c r="H263" s="135" t="n"/>
      <c r="I263" s="136" t="n"/>
      <c r="J263" s="135" t="n"/>
      <c r="K263" s="137" t="n"/>
      <c r="L263" s="138" t="n"/>
    </row>
    <row r="264" ht="27.75" customHeight="1" s="108">
      <c r="A264" s="140" t="n"/>
      <c r="B264" s="140" t="n"/>
      <c r="C264" s="140" t="n"/>
      <c r="D264" s="140" t="n"/>
      <c r="E264" s="141" t="n"/>
      <c r="F264" s="142" t="n"/>
      <c r="G264" s="134" t="n"/>
      <c r="H264" s="135" t="n"/>
      <c r="I264" s="136" t="n"/>
      <c r="J264" s="135" t="n"/>
      <c r="K264" s="137" t="n"/>
      <c r="L264" s="138" t="n"/>
    </row>
    <row r="265" ht="27.75" customHeight="1" s="108">
      <c r="A265" s="140" t="n"/>
      <c r="B265" s="140" t="n"/>
      <c r="C265" s="140" t="n"/>
      <c r="D265" s="140" t="n"/>
      <c r="E265" s="141" t="n"/>
      <c r="F265" s="142" t="n"/>
      <c r="G265" s="134" t="n"/>
      <c r="H265" s="135" t="n"/>
      <c r="I265" s="136" t="n"/>
      <c r="J265" s="135" t="n"/>
      <c r="K265" s="137" t="n"/>
      <c r="L265" s="138" t="n"/>
    </row>
    <row r="266" ht="27.75" customHeight="1" s="108">
      <c r="A266" s="140" t="n"/>
      <c r="B266" s="140" t="n"/>
      <c r="C266" s="140" t="n"/>
      <c r="D266" s="140" t="n"/>
      <c r="E266" s="141" t="n"/>
      <c r="F266" s="142" t="n"/>
      <c r="G266" s="134" t="n"/>
      <c r="H266" s="135" t="n"/>
      <c r="I266" s="136" t="n"/>
      <c r="J266" s="135" t="n"/>
      <c r="K266" s="137" t="n"/>
      <c r="L266" s="138" t="n"/>
    </row>
    <row r="267" ht="27.75" customHeight="1" s="108">
      <c r="A267" s="140" t="n"/>
      <c r="B267" s="140" t="n"/>
      <c r="C267" s="140" t="n"/>
      <c r="D267" s="140" t="n"/>
      <c r="E267" s="141" t="n"/>
      <c r="F267" s="142" t="n"/>
      <c r="G267" s="134" t="n"/>
      <c r="H267" s="135" t="n"/>
      <c r="I267" s="136" t="n"/>
      <c r="J267" s="135" t="n"/>
      <c r="K267" s="137" t="n"/>
      <c r="L267" s="138" t="n"/>
    </row>
    <row r="268" ht="27.75" customHeight="1" s="108">
      <c r="A268" s="140" t="n"/>
      <c r="B268" s="140" t="n"/>
      <c r="C268" s="140" t="n"/>
      <c r="D268" s="140" t="n"/>
      <c r="E268" s="141" t="n"/>
      <c r="F268" s="142" t="n"/>
      <c r="G268" s="134" t="n"/>
      <c r="H268" s="135" t="n"/>
      <c r="I268" s="136" t="n"/>
      <c r="J268" s="135" t="n"/>
      <c r="K268" s="137" t="n"/>
      <c r="L268" s="138" t="n"/>
    </row>
    <row r="269" ht="27.75" customHeight="1" s="108">
      <c r="A269" s="140" t="n"/>
      <c r="B269" s="140" t="n"/>
      <c r="C269" s="140" t="n"/>
      <c r="D269" s="140" t="n"/>
      <c r="E269" s="141" t="n"/>
      <c r="F269" s="142" t="n"/>
      <c r="G269" s="134" t="n"/>
      <c r="H269" s="135" t="n"/>
      <c r="I269" s="136" t="n"/>
      <c r="J269" s="135" t="n"/>
      <c r="K269" s="137" t="n"/>
      <c r="L269" s="138" t="n"/>
    </row>
    <row r="270" ht="27.75" customHeight="1" s="108">
      <c r="A270" s="140" t="n"/>
      <c r="B270" s="140" t="n"/>
      <c r="C270" s="140" t="n"/>
      <c r="D270" s="140" t="n"/>
      <c r="E270" s="141" t="n"/>
      <c r="F270" s="142" t="n"/>
      <c r="G270" s="134" t="n"/>
      <c r="H270" s="135" t="n"/>
      <c r="I270" s="136" t="n"/>
      <c r="J270" s="135" t="n"/>
      <c r="K270" s="137" t="n"/>
      <c r="L270" s="138" t="n"/>
    </row>
    <row r="271" ht="27.75" customHeight="1" s="108">
      <c r="A271" s="140" t="n"/>
      <c r="B271" s="140" t="n"/>
      <c r="C271" s="140" t="n"/>
      <c r="D271" s="140" t="n"/>
      <c r="E271" s="141" t="n"/>
      <c r="F271" s="142" t="n"/>
      <c r="G271" s="134" t="n"/>
      <c r="H271" s="135" t="n"/>
      <c r="I271" s="136" t="n"/>
      <c r="J271" s="135" t="n"/>
      <c r="K271" s="137" t="n"/>
      <c r="L271" s="138" t="n"/>
    </row>
    <row r="272" ht="27.75" customHeight="1" s="108">
      <c r="A272" s="140" t="n"/>
      <c r="B272" s="140" t="n"/>
      <c r="C272" s="140" t="n"/>
      <c r="D272" s="140" t="n"/>
      <c r="E272" s="141" t="n"/>
      <c r="F272" s="142" t="n"/>
      <c r="G272" s="134" t="n"/>
      <c r="H272" s="135" t="n"/>
      <c r="I272" s="136" t="n"/>
      <c r="J272" s="135" t="n"/>
      <c r="K272" s="137" t="n"/>
      <c r="L272" s="138" t="n"/>
    </row>
    <row r="273" ht="27.75" customHeight="1" s="108">
      <c r="A273" s="140" t="n"/>
      <c r="B273" s="140" t="n"/>
      <c r="C273" s="140" t="n"/>
      <c r="D273" s="140" t="n"/>
      <c r="E273" s="141" t="n"/>
      <c r="F273" s="142" t="n"/>
      <c r="G273" s="134" t="n"/>
      <c r="H273" s="135" t="n"/>
      <c r="I273" s="136" t="n"/>
      <c r="J273" s="135" t="n"/>
      <c r="K273" s="137" t="n"/>
      <c r="L273" s="138" t="n"/>
    </row>
    <row r="274" ht="27.75" customHeight="1" s="108">
      <c r="A274" s="140" t="n"/>
      <c r="B274" s="140" t="n"/>
      <c r="C274" s="140" t="n"/>
      <c r="D274" s="140" t="n"/>
      <c r="E274" s="141" t="n"/>
      <c r="F274" s="142" t="n"/>
      <c r="G274" s="134" t="n"/>
      <c r="H274" s="135" t="n"/>
      <c r="I274" s="136" t="n"/>
      <c r="J274" s="135" t="n"/>
      <c r="K274" s="137" t="n"/>
      <c r="L274" s="138" t="n"/>
    </row>
    <row r="275" ht="27.75" customHeight="1" s="108">
      <c r="A275" s="140" t="n"/>
      <c r="B275" s="140" t="n"/>
      <c r="C275" s="140" t="n"/>
      <c r="D275" s="140" t="n"/>
      <c r="E275" s="141" t="n"/>
      <c r="F275" s="142" t="n"/>
      <c r="G275" s="134" t="n"/>
      <c r="H275" s="135" t="n"/>
      <c r="I275" s="136" t="n"/>
      <c r="J275" s="135" t="n"/>
      <c r="K275" s="137" t="n"/>
      <c r="L275" s="138" t="n"/>
    </row>
    <row r="276" ht="27.75" customHeight="1" s="108">
      <c r="A276" s="140" t="n"/>
      <c r="B276" s="140" t="n"/>
      <c r="C276" s="140" t="n"/>
      <c r="D276" s="140" t="n"/>
      <c r="E276" s="141" t="n"/>
      <c r="F276" s="142" t="n"/>
      <c r="G276" s="134" t="n"/>
      <c r="H276" s="135" t="n"/>
      <c r="I276" s="136" t="n"/>
      <c r="J276" s="135" t="n"/>
      <c r="K276" s="137" t="n"/>
      <c r="L276" s="138" t="n"/>
    </row>
    <row r="277" ht="27.75" customHeight="1" s="108">
      <c r="A277" s="140" t="n"/>
      <c r="B277" s="140" t="n"/>
      <c r="C277" s="140" t="n"/>
      <c r="D277" s="140" t="n"/>
      <c r="E277" s="141" t="n"/>
      <c r="F277" s="142" t="n"/>
      <c r="G277" s="134" t="n"/>
      <c r="H277" s="135" t="n"/>
      <c r="I277" s="136" t="n"/>
      <c r="J277" s="135" t="n"/>
      <c r="K277" s="137" t="n"/>
      <c r="L277" s="138" t="n"/>
    </row>
    <row r="278" ht="27.75" customHeight="1" s="108">
      <c r="A278" s="140" t="n"/>
      <c r="B278" s="140" t="n"/>
      <c r="C278" s="140" t="n"/>
      <c r="D278" s="140" t="n"/>
      <c r="E278" s="141" t="n"/>
      <c r="F278" s="142" t="n"/>
      <c r="G278" s="134" t="n"/>
      <c r="H278" s="135" t="n"/>
      <c r="I278" s="136" t="n"/>
      <c r="J278" s="135" t="n"/>
      <c r="K278" s="137" t="n"/>
      <c r="L278" s="138" t="n"/>
    </row>
    <row r="279" ht="27.75" customHeight="1" s="108">
      <c r="A279" s="140" t="n"/>
      <c r="B279" s="140" t="n"/>
      <c r="C279" s="140" t="n"/>
      <c r="D279" s="140" t="n"/>
      <c r="E279" s="141" t="n"/>
      <c r="F279" s="142" t="n"/>
      <c r="G279" s="134" t="n"/>
      <c r="H279" s="135" t="n"/>
      <c r="I279" s="136" t="n"/>
      <c r="J279" s="135" t="n"/>
      <c r="K279" s="137" t="n"/>
      <c r="L279" s="138" t="n"/>
    </row>
    <row r="280" ht="27.75" customHeight="1" s="108">
      <c r="A280" s="140" t="n"/>
      <c r="B280" s="140" t="n"/>
      <c r="C280" s="140" t="n"/>
      <c r="D280" s="140" t="n"/>
      <c r="E280" s="141" t="n"/>
      <c r="F280" s="142" t="n"/>
      <c r="G280" s="134" t="n"/>
      <c r="H280" s="135" t="n"/>
      <c r="I280" s="136" t="n"/>
      <c r="J280" s="135" t="n"/>
      <c r="K280" s="137" t="n"/>
      <c r="L280" s="138" t="n"/>
    </row>
    <row r="281" ht="27.75" customHeight="1" s="108">
      <c r="A281" s="140" t="n"/>
      <c r="B281" s="140" t="n"/>
      <c r="C281" s="140" t="n"/>
      <c r="D281" s="140" t="n"/>
      <c r="E281" s="141" t="n"/>
      <c r="F281" s="142" t="n"/>
      <c r="G281" s="134" t="n"/>
      <c r="H281" s="135" t="n"/>
      <c r="I281" s="136" t="n"/>
      <c r="J281" s="135" t="n"/>
      <c r="K281" s="137" t="n"/>
      <c r="L281" s="138" t="n"/>
    </row>
    <row r="282" ht="27.75" customHeight="1" s="108">
      <c r="A282" s="140" t="n"/>
      <c r="B282" s="140" t="n"/>
      <c r="C282" s="140" t="n"/>
      <c r="D282" s="140" t="n"/>
      <c r="E282" s="141" t="n"/>
      <c r="F282" s="142" t="n"/>
      <c r="G282" s="134" t="n"/>
      <c r="H282" s="135" t="n"/>
      <c r="I282" s="136" t="n"/>
      <c r="J282" s="135" t="n"/>
      <c r="K282" s="137" t="n"/>
      <c r="L282" s="138" t="n"/>
    </row>
    <row r="283" ht="27.75" customHeight="1" s="108">
      <c r="A283" s="140" t="n"/>
      <c r="B283" s="140" t="n"/>
      <c r="C283" s="140" t="n"/>
      <c r="D283" s="140" t="n"/>
      <c r="E283" s="141" t="n"/>
      <c r="F283" s="142" t="n"/>
      <c r="G283" s="134" t="n"/>
      <c r="H283" s="135" t="n"/>
      <c r="I283" s="136" t="n"/>
      <c r="J283" s="135" t="n"/>
      <c r="K283" s="137" t="n"/>
      <c r="L283" s="138" t="n"/>
    </row>
    <row r="284" ht="27.75" customHeight="1" s="108">
      <c r="A284" s="140" t="n"/>
      <c r="B284" s="140" t="n"/>
      <c r="C284" s="140" t="n"/>
      <c r="D284" s="140" t="n"/>
      <c r="E284" s="141" t="n"/>
      <c r="F284" s="142" t="n"/>
      <c r="G284" s="134" t="n"/>
      <c r="H284" s="135" t="n"/>
      <c r="I284" s="136" t="n"/>
      <c r="J284" s="135" t="n"/>
      <c r="K284" s="137" t="n"/>
      <c r="L284" s="138" t="n"/>
    </row>
    <row r="285" ht="27.75" customHeight="1" s="108">
      <c r="A285" s="140" t="n"/>
      <c r="B285" s="140" t="n"/>
      <c r="C285" s="140" t="n"/>
      <c r="D285" s="140" t="n"/>
      <c r="E285" s="141" t="n"/>
      <c r="F285" s="142" t="n"/>
      <c r="G285" s="134" t="n"/>
      <c r="H285" s="135" t="n"/>
      <c r="I285" s="136" t="n"/>
      <c r="J285" s="135" t="n"/>
      <c r="K285" s="137" t="n"/>
      <c r="L285" s="138" t="n"/>
    </row>
    <row r="286" ht="27.75" customHeight="1" s="108">
      <c r="A286" s="140" t="n"/>
      <c r="B286" s="140" t="n"/>
      <c r="C286" s="140" t="n"/>
      <c r="D286" s="140" t="n"/>
      <c r="E286" s="141" t="n"/>
      <c r="F286" s="142" t="n"/>
      <c r="G286" s="134" t="n"/>
      <c r="H286" s="135" t="n"/>
      <c r="I286" s="136" t="n"/>
      <c r="J286" s="135" t="n"/>
      <c r="K286" s="137" t="n"/>
      <c r="L286" s="138" t="n"/>
    </row>
    <row r="287" ht="27.75" customHeight="1" s="108">
      <c r="A287" s="140" t="n"/>
      <c r="B287" s="140" t="n"/>
      <c r="C287" s="140" t="n"/>
      <c r="D287" s="140" t="n"/>
      <c r="E287" s="141" t="n"/>
      <c r="F287" s="142" t="n"/>
      <c r="G287" s="134" t="n"/>
      <c r="H287" s="135" t="n"/>
      <c r="I287" s="136" t="n"/>
      <c r="J287" s="135" t="n"/>
      <c r="K287" s="137" t="n"/>
      <c r="L287" s="138" t="n"/>
    </row>
    <row r="288" ht="27.75" customHeight="1" s="108">
      <c r="A288" s="140" t="n"/>
      <c r="B288" s="140" t="n"/>
      <c r="C288" s="140" t="n"/>
      <c r="D288" s="140" t="n"/>
      <c r="E288" s="141" t="n"/>
      <c r="F288" s="142" t="n"/>
      <c r="G288" s="134" t="n"/>
      <c r="H288" s="135" t="n"/>
      <c r="I288" s="136" t="n"/>
      <c r="J288" s="135" t="n"/>
      <c r="K288" s="137" t="n"/>
      <c r="L288" s="138" t="n"/>
    </row>
    <row r="289" ht="27.75" customHeight="1" s="108">
      <c r="A289" s="140" t="n"/>
      <c r="B289" s="140" t="n"/>
      <c r="C289" s="140" t="n"/>
      <c r="D289" s="140" t="n"/>
      <c r="E289" s="141" t="n"/>
      <c r="F289" s="142" t="n"/>
      <c r="G289" s="134" t="n"/>
      <c r="H289" s="135" t="n"/>
      <c r="I289" s="136" t="n"/>
      <c r="J289" s="135" t="n"/>
      <c r="K289" s="137" t="n"/>
      <c r="L289" s="138" t="n"/>
    </row>
    <row r="290" ht="27.75" customHeight="1" s="108">
      <c r="A290" s="140" t="n"/>
      <c r="B290" s="140" t="n"/>
      <c r="C290" s="140" t="n"/>
      <c r="D290" s="140" t="n"/>
      <c r="E290" s="141" t="n"/>
      <c r="F290" s="142" t="n"/>
      <c r="G290" s="134" t="n"/>
      <c r="H290" s="135" t="n"/>
      <c r="I290" s="136" t="n"/>
      <c r="J290" s="135" t="n"/>
      <c r="K290" s="137" t="n"/>
      <c r="L290" s="138" t="n"/>
    </row>
    <row r="291" ht="27.75" customHeight="1" s="108">
      <c r="A291" s="140" t="n"/>
      <c r="B291" s="140" t="n"/>
      <c r="C291" s="140" t="n"/>
      <c r="D291" s="140" t="n"/>
      <c r="E291" s="141" t="n"/>
      <c r="F291" s="142" t="n"/>
      <c r="G291" s="134" t="n"/>
      <c r="H291" s="135" t="n"/>
      <c r="I291" s="136" t="n"/>
      <c r="J291" s="135" t="n"/>
      <c r="K291" s="137" t="n"/>
      <c r="L291" s="138" t="n"/>
    </row>
    <row r="292" ht="27.75" customHeight="1" s="108">
      <c r="A292" s="140" t="n"/>
      <c r="B292" s="140" t="n"/>
      <c r="C292" s="140" t="n"/>
      <c r="D292" s="140" t="n"/>
      <c r="E292" s="141" t="n"/>
      <c r="F292" s="142" t="n"/>
      <c r="G292" s="134" t="n"/>
      <c r="H292" s="135" t="n"/>
      <c r="I292" s="136" t="n"/>
      <c r="J292" s="135" t="n"/>
      <c r="K292" s="137" t="n"/>
      <c r="L292" s="138" t="n"/>
    </row>
    <row r="293" ht="27.75" customHeight="1" s="108">
      <c r="A293" s="140" t="n"/>
      <c r="B293" s="140" t="n"/>
      <c r="C293" s="140" t="n"/>
      <c r="D293" s="140" t="n"/>
      <c r="E293" s="141" t="n"/>
      <c r="F293" s="142" t="n"/>
      <c r="G293" s="134" t="n"/>
      <c r="H293" s="135" t="n"/>
      <c r="I293" s="136" t="n"/>
      <c r="J293" s="135" t="n"/>
      <c r="K293" s="137" t="n"/>
      <c r="L293" s="138" t="n"/>
    </row>
    <row r="294" ht="27.75" customHeight="1" s="108">
      <c r="A294" s="140" t="n"/>
      <c r="B294" s="140" t="n"/>
      <c r="C294" s="140" t="n"/>
      <c r="D294" s="140" t="n"/>
      <c r="E294" s="141" t="n"/>
      <c r="F294" s="142" t="n"/>
      <c r="G294" s="134" t="n"/>
      <c r="H294" s="135" t="n"/>
      <c r="I294" s="136" t="n"/>
      <c r="J294" s="135" t="n"/>
      <c r="K294" s="137" t="n"/>
      <c r="L294" s="138" t="n"/>
    </row>
    <row r="295" ht="27.75" customHeight="1" s="108">
      <c r="A295" s="162" t="n"/>
      <c r="B295" s="162" t="n"/>
      <c r="C295" s="162" t="n"/>
      <c r="D295" s="162" t="n"/>
      <c r="E295" s="163" t="n"/>
      <c r="F295" s="164" t="n"/>
      <c r="G295" s="165" t="n"/>
      <c r="H295" s="166" t="n"/>
      <c r="I295" s="167" t="n"/>
      <c r="J295" s="166" t="n"/>
      <c r="K295" s="168" t="n"/>
      <c r="L295" s="169" t="n"/>
    </row>
    <row r="296" ht="27.75" customHeight="1" s="108">
      <c r="A296" s="162" t="n"/>
      <c r="B296" s="162" t="n"/>
      <c r="C296" s="162" t="n"/>
      <c r="D296" s="162" t="n"/>
      <c r="E296" s="163" t="n"/>
      <c r="F296" s="164" t="n"/>
      <c r="G296" s="165" t="n"/>
      <c r="H296" s="166" t="n"/>
      <c r="I296" s="167" t="n"/>
      <c r="J296" s="166" t="n"/>
      <c r="K296" s="168" t="n"/>
      <c r="L296" s="169" t="n"/>
    </row>
    <row r="297" ht="27.75" customHeight="1" s="108"/>
    <row r="298" ht="27.75" customHeight="1" s="108"/>
    <row r="299" ht="27.75" customHeight="1" s="108"/>
    <row r="300" ht="27.75" customHeight="1" s="108"/>
  </sheetData>
  <mergeCells count="2">
    <mergeCell ref="A2:L2"/>
    <mergeCell ref="A1:L1"/>
  </mergeCells>
  <conditionalFormatting sqref="A5:F300">
    <cfRule type="expression" rank="0" priority="2" equalAverage="0" aboveAverage="0" dxfId="0" text="" percent="0" bottom="0">
      <formula>$B5="Deposit"</formula>
    </cfRule>
    <cfRule type="expression" rank="0" priority="3" equalAverage="0" aboveAverage="0" dxfId="1" text="" percent="0" bottom="0">
      <formula>$B5="Cash Out"</formula>
    </cfRule>
    <cfRule type="expression" rank="0" priority="4" equalAverage="0" aboveAverage="0" dxfId="2" text="" percent="0" bottom="0">
      <formula>$B5="Cash In"</formula>
    </cfRule>
    <cfRule type="expression" rank="0" priority="5" equalAverage="0" aboveAverage="0" dxfId="3" text="" percent="0" bottom="0">
      <formula>$B5="Payment"</formula>
    </cfRule>
  </conditionalFormatting>
  <conditionalFormatting sqref="L5:L300">
    <cfRule type="expression" rank="0" priority="6" equalAverage="0" aboveAverage="0" dxfId="4" text="" percent="0" bottom="0">
      <formula>$B5="Deposit"</formula>
    </cfRule>
    <cfRule type="expression" rank="0" priority="7" equalAverage="0" aboveAverage="0" dxfId="4" text="" percent="0" bottom="0">
      <formula>$B5="Cash Out"</formula>
    </cfRule>
    <cfRule type="expression" rank="0" priority="8" equalAverage="0" aboveAverage="0" dxfId="4" text="" percent="0" bottom="0">
      <formula>$B5="Cash In"</formula>
    </cfRule>
    <cfRule type="expression" rank="0" priority="9" equalAverage="0" aboveAverage="0" dxfId="4" text="" percent="0" bottom="0">
      <formula>$B5="Payment"</formula>
    </cfRule>
  </conditionalFormatting>
  <dataValidations count="2">
    <dataValidation sqref="B5:B300" showDropDown="0" showInputMessage="0" showErrorMessage="0" allowBlank="0" type="list" errorStyle="stop" operator="between">
      <formula1>"Deposit,Payment,Cash Out,Cash In,❓ Unknown"</formula1>
      <formula2>0</formula2>
    </dataValidation>
    <dataValidation sqref="E5:E300" showDropDown="0" showInputMessage="0" showErrorMessage="0" allowBlank="0" type="list" errorStyle="stop" operator="between">
      <formula1>"AED,CNY,USD,EUR,SGD,RUB,INR,HKD,SAR,GBP"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baseColWidth="8" defaultColWidth="8.71484375" defaultRowHeight="15" zeroHeight="0" outlineLevelRow="0"/>
  <cols>
    <col width="14" customWidth="1" style="107" min="1" max="1"/>
    <col width="24" customWidth="1" style="107" min="2" max="2"/>
    <col width="32" customWidth="1" style="107" min="3" max="3"/>
    <col width="8" customWidth="1" style="107" min="4" max="4"/>
    <col width="14" customWidth="1" style="107" min="5" max="5"/>
    <col width="13" customWidth="1" style="107" min="6" max="6"/>
    <col width="18" customWidth="1" style="107" min="7" max="7"/>
    <col width="13" customWidth="1" style="107" min="8" max="8"/>
    <col width="26" customWidth="1" style="107" min="9" max="9"/>
    <col width="40" customWidth="1" style="107" min="10" max="10"/>
    <col width="32" customWidth="1" style="107" min="11" max="11"/>
  </cols>
  <sheetData>
    <row r="1" ht="30" customHeight="1" s="108">
      <c r="A1" s="109" t="inlineStr">
        <is>
          <t>📋 INVOICE TRACKER</t>
        </is>
      </c>
    </row>
    <row r="2" ht="15" customHeight="1" s="108">
      <c r="A2" s="110" t="inlineStr">
        <is>
          <t>All submitted invoices — Status dropdown: ⏳ Pending / ✅ Paid / ⚠ Check / ❓ Clarify</t>
        </is>
      </c>
    </row>
    <row r="4" ht="25.5" customHeight="1" s="108">
      <c r="A4" s="129" t="inlineStr">
        <is>
          <t>Date Submitted</t>
        </is>
      </c>
      <c r="B4" s="129" t="inlineStr">
        <is>
          <t>Invoice #</t>
        </is>
      </c>
      <c r="C4" s="129" t="inlineStr">
        <is>
          <t>Payee / Beneficiary</t>
        </is>
      </c>
      <c r="D4" s="129" t="inlineStr">
        <is>
          <t>CCY</t>
        </is>
      </c>
      <c r="E4" s="129" t="inlineStr">
        <is>
          <t>Inv. Amount</t>
        </is>
      </c>
      <c r="F4" s="129" t="inlineStr">
        <is>
          <t>USD Equiv.</t>
        </is>
      </c>
      <c r="G4" s="129" t="inlineStr">
        <is>
          <t>Status</t>
        </is>
      </c>
      <c r="H4" s="129" t="inlineStr">
        <is>
          <t>Date Paid</t>
        </is>
      </c>
      <c r="I4" s="129" t="inlineStr">
        <is>
          <t>Payment Reference</t>
        </is>
      </c>
      <c r="J4" s="129" t="inlineStr">
        <is>
          <t>Notes</t>
        </is>
      </c>
      <c r="K4" s="129" t="inlineStr">
        <is>
          <t>Beneficiary</t>
        </is>
      </c>
    </row>
    <row r="5" ht="27.75" customHeight="1" s="108">
      <c r="A5" s="131" t="inlineStr">
        <is>
          <t>11.12.2025</t>
        </is>
      </c>
      <c r="B5" s="131" t="inlineStr">
        <is>
          <t>ASTENO-2025-AS480</t>
        </is>
      </c>
      <c r="C5" s="131" t="inlineStr">
        <is>
          <t>ASTENO LOGISTICS FZCO</t>
        </is>
      </c>
      <c r="D5" s="132" t="inlineStr">
        <is>
          <t>AED</t>
        </is>
      </c>
      <c r="E5" s="133" t="n">
        <v>1507500</v>
      </c>
      <c r="F5" s="170" t="n">
        <v>410483.32</v>
      </c>
      <c r="G5" s="171" t="inlineStr">
        <is>
          <t>✅ Paid</t>
        </is>
      </c>
      <c r="H5" s="131" t="inlineStr">
        <is>
          <t>15.12.2025</t>
        </is>
      </c>
      <c r="I5" s="172" t="inlineStr">
        <is>
          <t>MISR-AED-ASTENO</t>
        </is>
      </c>
      <c r="J5" s="138" t="inlineStr">
        <is>
          <t>Cash deal + 0.5% fee. Via OILQO SERVICES</t>
        </is>
      </c>
      <c r="K5" s="139" t="inlineStr">
        <is>
          <t>RAWRIMA FZCO</t>
        </is>
      </c>
    </row>
    <row r="6" ht="27.75" customHeight="1" s="108">
      <c r="A6" s="131" t="inlineStr">
        <is>
          <t>16.12.2025</t>
        </is>
      </c>
      <c r="B6" s="131" t="inlineStr">
        <is>
          <t>Jiaren (unnamed)</t>
        </is>
      </c>
      <c r="C6" s="131" t="inlineStr">
        <is>
          <t>POLARIS MARINE LIMITED</t>
        </is>
      </c>
      <c r="D6" s="132" t="inlineStr">
        <is>
          <t>CNY</t>
        </is>
      </c>
      <c r="E6" s="133" t="n">
        <v>74520</v>
      </c>
      <c r="F6" s="170" t="n">
        <v>10626.72</v>
      </c>
      <c r="G6" s="171" t="inlineStr">
        <is>
          <t>✅ Paid</t>
        </is>
      </c>
      <c r="H6" s="131" t="inlineStr">
        <is>
          <t>22.12.2025</t>
        </is>
      </c>
      <c r="I6" s="172" t="inlineStr">
        <is>
          <t>PingAn/VESSANG</t>
        </is>
      </c>
      <c r="J6" s="138" t="inlineStr">
        <is>
          <t>Jiaren Marine Chem Ron inv</t>
        </is>
      </c>
      <c r="K6" s="139" t="inlineStr">
        <is>
          <t>ELITESPHERE PTE LTD</t>
        </is>
      </c>
    </row>
    <row r="7" ht="27.75" customHeight="1" s="108">
      <c r="A7" s="131" t="inlineStr">
        <is>
          <t>29.12.2025</t>
        </is>
      </c>
      <c r="B7" s="131" t="inlineStr">
        <is>
          <t>(Solhut TT)</t>
        </is>
      </c>
      <c r="C7" s="131" t="inlineStr">
        <is>
          <t>JIANGSU JINYANGTONG SHIPPING</t>
        </is>
      </c>
      <c r="D7" s="132" t="inlineStr">
        <is>
          <t>CNY</t>
        </is>
      </c>
      <c r="E7" s="133" t="n">
        <v>381089</v>
      </c>
      <c r="F7" s="170" t="n">
        <v>54344.15</v>
      </c>
      <c r="G7" s="171" t="inlineStr">
        <is>
          <t>✅ Paid</t>
        </is>
      </c>
      <c r="H7" s="131" t="inlineStr">
        <is>
          <t>29.12.2025</t>
        </is>
      </c>
      <c r="I7" s="172" t="inlineStr">
        <is>
          <t>PI9HK3587KA01546</t>
        </is>
      </c>
      <c r="J7" s="138" t="inlineStr">
        <is>
          <t>Solhut HK. Bank of China</t>
        </is>
      </c>
      <c r="K7" s="139" t="inlineStr">
        <is>
          <t>ELITESPHERE PTE LTD</t>
        </is>
      </c>
    </row>
    <row r="8" ht="27.75" customHeight="1" s="108">
      <c r="A8" s="131" t="inlineStr">
        <is>
          <t>06.01.2026</t>
        </is>
      </c>
      <c r="B8" s="131" t="inlineStr">
        <is>
          <t>SH-TC2401-23</t>
        </is>
      </c>
      <c r="C8" s="131" t="inlineStr">
        <is>
          <t>POLARIS MARINE LIMITED</t>
        </is>
      </c>
      <c r="D8" s="132" t="inlineStr">
        <is>
          <t>CNY</t>
        </is>
      </c>
      <c r="E8" s="133" t="n">
        <v>4356737.02</v>
      </c>
      <c r="F8" s="170" t="n">
        <v>621280.51</v>
      </c>
      <c r="G8" s="171" t="inlineStr">
        <is>
          <t>✅ Paid</t>
        </is>
      </c>
      <c r="H8" s="131" t="inlineStr">
        <is>
          <t>06.01.2026</t>
        </is>
      </c>
      <c r="I8" s="172" t="inlineStr">
        <is>
          <t>4,356,737.02 CNY.pdf</t>
        </is>
      </c>
      <c r="J8" s="138" t="inlineStr">
        <is>
          <t>Chem Ron 23rd hire. USD 696k equiv</t>
        </is>
      </c>
      <c r="K8" s="139" t="inlineStr">
        <is>
          <t>ELITESPHERE PTE LTD</t>
        </is>
      </c>
    </row>
    <row r="9" ht="27.75" customHeight="1" s="108">
      <c r="A9" s="131" t="inlineStr">
        <is>
          <t>13.01.2026</t>
        </is>
      </c>
      <c r="B9" s="131" t="inlineStr">
        <is>
          <t>2000166506</t>
        </is>
      </c>
      <c r="C9" s="131" t="inlineStr">
        <is>
          <t>AL WATAN RAK</t>
        </is>
      </c>
      <c r="D9" s="132" t="inlineStr">
        <is>
          <t>AED</t>
        </is>
      </c>
      <c r="E9" s="133" t="n">
        <v>30240</v>
      </c>
      <c r="F9" s="170" t="n">
        <v>8234.17</v>
      </c>
      <c r="G9" s="171" t="inlineStr">
        <is>
          <t>✅ Paid</t>
        </is>
      </c>
      <c r="H9" s="131" t="inlineStr">
        <is>
          <t>14.01.2026</t>
        </is>
      </c>
      <c r="I9" s="172" t="inlineStr">
        <is>
          <t>Ref 1164015</t>
        </is>
      </c>
      <c r="J9" s="138" t="inlineStr">
        <is>
          <t>Inv date 31.12.2025</t>
        </is>
      </c>
      <c r="K9" s="139" t="inlineStr">
        <is>
          <t>RAWRIMA FZCO</t>
        </is>
      </c>
    </row>
    <row r="10" ht="27.75" customHeight="1" s="108">
      <c r="A10" s="131" t="inlineStr">
        <is>
          <t>13.01.2026</t>
        </is>
      </c>
      <c r="B10" s="131" t="inlineStr">
        <is>
          <t>LUX-INV2025-228</t>
        </is>
      </c>
      <c r="C10" s="131" t="inlineStr">
        <is>
          <t>LUX LIFESTYLES TRADING LLC</t>
        </is>
      </c>
      <c r="D10" s="132" t="inlineStr">
        <is>
          <t>AED</t>
        </is>
      </c>
      <c r="E10" s="133" t="n">
        <v>1890</v>
      </c>
      <c r="F10" s="170" t="n">
        <v>514.64</v>
      </c>
      <c r="G10" s="171" t="inlineStr">
        <is>
          <t>✅ Paid</t>
        </is>
      </c>
      <c r="H10" s="131" t="inlineStr">
        <is>
          <t>14.01.2026</t>
        </is>
      </c>
      <c r="I10" s="172" t="inlineStr">
        <is>
          <t>Ref 1163835</t>
        </is>
      </c>
      <c r="J10" s="138" t="inlineStr">
        <is>
          <t>Event support 01.12.2025</t>
        </is>
      </c>
      <c r="K10" s="139" t="inlineStr">
        <is>
          <t>RAWRIMA FZCO</t>
        </is>
      </c>
    </row>
    <row r="11" ht="27.75" customHeight="1" s="108">
      <c r="A11" s="131" t="inlineStr">
        <is>
          <t>13.01.2026</t>
        </is>
      </c>
      <c r="B11" s="131" t="inlineStr">
        <is>
          <t>LUX-INV2026-004</t>
        </is>
      </c>
      <c r="C11" s="131" t="inlineStr">
        <is>
          <t>LUX LIFESTYLES TRADING LLC</t>
        </is>
      </c>
      <c r="D11" s="132" t="inlineStr">
        <is>
          <t>AED</t>
        </is>
      </c>
      <c r="E11" s="133" t="n">
        <v>27858.6</v>
      </c>
      <c r="F11" s="170" t="n">
        <v>7585.73</v>
      </c>
      <c r="G11" s="171" t="inlineStr">
        <is>
          <t>✅ Paid</t>
        </is>
      </c>
      <c r="H11" s="131" t="inlineStr">
        <is>
          <t>14.01.2026</t>
        </is>
      </c>
      <c r="I11" s="172" t="inlineStr">
        <is>
          <t>Ref 1163838</t>
        </is>
      </c>
      <c r="J11" s="138" t="inlineStr">
        <is>
          <t>Lutron programming balance</t>
        </is>
      </c>
      <c r="K11" s="139" t="inlineStr">
        <is>
          <t>RAWRIMA FZCO</t>
        </is>
      </c>
    </row>
    <row r="12" ht="27.75" customHeight="1" s="108">
      <c r="A12" s="131" t="inlineStr">
        <is>
          <t>14.01.2026</t>
        </is>
      </c>
      <c r="B12" s="131" t="inlineStr">
        <is>
          <t>PoF batch Dec 2025 (5 inv)</t>
        </is>
      </c>
      <c r="C12" s="131" t="inlineStr">
        <is>
          <t>MENA TERMINALS FUJAIRAH LLC FZC</t>
        </is>
      </c>
      <c r="D12" s="132" t="inlineStr">
        <is>
          <t>AED</t>
        </is>
      </c>
      <c r="E12" s="133" t="n">
        <v>283413.37</v>
      </c>
      <c r="F12" s="170" t="n">
        <v>77171.78</v>
      </c>
      <c r="G12" s="171" t="inlineStr">
        <is>
          <t>✅ Paid</t>
        </is>
      </c>
      <c r="H12" s="131" t="inlineStr">
        <is>
          <t>16.01.2026</t>
        </is>
      </c>
      <c r="I12" s="172" t="inlineStr">
        <is>
          <t>Ref 7202386567064989</t>
        </is>
      </c>
      <c r="J12" s="138" t="inlineStr">
        <is>
          <t>5 invoices. TROVECO payer</t>
        </is>
      </c>
      <c r="K12" s="139" t="inlineStr">
        <is>
          <t>TROVECO DMCC</t>
        </is>
      </c>
    </row>
    <row r="13" ht="27.75" customHeight="1" s="108">
      <c r="A13" s="131" t="inlineStr">
        <is>
          <t>15.01.2026</t>
        </is>
      </c>
      <c r="B13" s="131" t="inlineStr">
        <is>
          <t>143-122025</t>
        </is>
      </c>
      <c r="C13" s="131" t="inlineStr">
        <is>
          <t>QUILL CORPORATE SERVICES LLC</t>
        </is>
      </c>
      <c r="D13" s="132" t="inlineStr">
        <is>
          <t>AED</t>
        </is>
      </c>
      <c r="E13" s="133" t="n">
        <v>9082.5</v>
      </c>
      <c r="F13" s="170" t="n">
        <v>2473.11</v>
      </c>
      <c r="G13" s="171" t="inlineStr">
        <is>
          <t>✅ Paid</t>
        </is>
      </c>
      <c r="H13" s="131" t="inlineStr">
        <is>
          <t>16.01.2026</t>
        </is>
      </c>
      <c r="I13" s="172" t="inlineStr">
        <is>
          <t>Ref 1165703</t>
        </is>
      </c>
      <c r="J13" s="138" t="inlineStr">
        <is>
          <t>M&amp;M DMCC Change of Director</t>
        </is>
      </c>
      <c r="K13" s="139" t="inlineStr">
        <is>
          <t>RAWRIMA FZCO</t>
        </is>
      </c>
    </row>
    <row r="14" ht="27.75" customHeight="1" s="108">
      <c r="A14" s="131" t="inlineStr">
        <is>
          <t>15.01.2026</t>
        </is>
      </c>
      <c r="B14" s="131" t="inlineStr">
        <is>
          <t>93-012026</t>
        </is>
      </c>
      <c r="C14" s="131" t="inlineStr">
        <is>
          <t>QUILL CORPORATE SERVICES LLC</t>
        </is>
      </c>
      <c r="D14" s="132" t="inlineStr">
        <is>
          <t>AED</t>
        </is>
      </c>
      <c r="E14" s="133" t="n">
        <v>4160</v>
      </c>
      <c r="F14" s="170" t="n">
        <v>1132.74</v>
      </c>
      <c r="G14" s="171" t="inlineStr">
        <is>
          <t>✅ Paid</t>
        </is>
      </c>
      <c r="H14" s="131" t="inlineStr">
        <is>
          <t>16.01.2026</t>
        </is>
      </c>
      <c r="I14" s="172" t="inlineStr">
        <is>
          <t>Ref 1165881</t>
        </is>
      </c>
      <c r="J14" s="138" t="inlineStr">
        <is>
          <t>Change of Manager &amp; Secretary DMCC</t>
        </is>
      </c>
      <c r="K14" s="139" t="inlineStr">
        <is>
          <t>RAWRIMA FZCO</t>
        </is>
      </c>
    </row>
    <row r="15" ht="27.75" customHeight="1" s="108">
      <c r="A15" s="131" t="inlineStr">
        <is>
          <t>19.01.2026</t>
        </is>
      </c>
      <c r="B15" s="131" t="inlineStr">
        <is>
          <t>CS/26/01/2480</t>
        </is>
      </c>
      <c r="C15" s="131" t="inlineStr">
        <is>
          <t>RSM STONE FOREST CORPSERVE PTE LTD</t>
        </is>
      </c>
      <c r="D15" s="132" t="inlineStr">
        <is>
          <t>SGD</t>
        </is>
      </c>
      <c r="E15" s="133" t="n">
        <v>310.9</v>
      </c>
      <c r="F15" s="170" t="n">
        <v>248.03</v>
      </c>
      <c r="G15" s="171" t="inlineStr">
        <is>
          <t>✅ Paid</t>
        </is>
      </c>
      <c r="H15" s="131" t="inlineStr">
        <is>
          <t>21.01.2026</t>
        </is>
      </c>
      <c r="I15" s="172" t="inlineStr">
        <is>
          <t>FT26021C826J</t>
        </is>
      </c>
      <c r="J15" s="138" t="inlineStr">
        <is>
          <t>MMI — ACRA filing</t>
        </is>
      </c>
      <c r="K15" s="139" t="inlineStr">
        <is>
          <t>MMI</t>
        </is>
      </c>
    </row>
    <row r="16" ht="27.75" customHeight="1" s="108">
      <c r="A16" s="131" t="inlineStr">
        <is>
          <t>19.01.2026</t>
        </is>
      </c>
      <c r="B16" s="131" t="inlineStr">
        <is>
          <t>CS/26/01/2481</t>
        </is>
      </c>
      <c r="C16" s="131" t="inlineStr">
        <is>
          <t>RSM STONE FOREST CORPSERVE PTE LTD</t>
        </is>
      </c>
      <c r="D16" s="132" t="inlineStr">
        <is>
          <t>SGD</t>
        </is>
      </c>
      <c r="E16" s="133" t="n">
        <v>310.9</v>
      </c>
      <c r="F16" s="170" t="n">
        <v>248.03</v>
      </c>
      <c r="G16" s="171" t="inlineStr">
        <is>
          <t>✅ Paid</t>
        </is>
      </c>
      <c r="H16" s="131" t="inlineStr">
        <is>
          <t>21.01.2026</t>
        </is>
      </c>
      <c r="I16" s="172" t="inlineStr">
        <is>
          <t>FT26021C826J</t>
        </is>
      </c>
      <c r="J16" s="138" t="inlineStr">
        <is>
          <t>MMR — ACRA filing</t>
        </is>
      </c>
      <c r="K16" s="139" t="inlineStr">
        <is>
          <t>MMR</t>
        </is>
      </c>
    </row>
    <row r="17" ht="27.75" customHeight="1" s="108">
      <c r="A17" s="131" t="inlineStr">
        <is>
          <t>19.01.2026</t>
        </is>
      </c>
      <c r="B17" s="131" t="inlineStr">
        <is>
          <t>CS/26/01/2482</t>
        </is>
      </c>
      <c r="C17" s="131" t="inlineStr">
        <is>
          <t>RSM STONE FOREST CORPSERVE PTE LTD</t>
        </is>
      </c>
      <c r="D17" s="132" t="inlineStr">
        <is>
          <t>SGD</t>
        </is>
      </c>
      <c r="E17" s="133" t="n">
        <v>310.9</v>
      </c>
      <c r="F17" s="170" t="n">
        <v>248.03</v>
      </c>
      <c r="G17" s="171" t="inlineStr">
        <is>
          <t>✅ Paid</t>
        </is>
      </c>
      <c r="H17" s="131" t="inlineStr">
        <is>
          <t>21.01.2026</t>
        </is>
      </c>
      <c r="I17" s="172" t="inlineStr">
        <is>
          <t>FT26021C826J</t>
        </is>
      </c>
      <c r="J17" s="138" t="inlineStr">
        <is>
          <t>MMT — total 3 invs = 932.70 SGD</t>
        </is>
      </c>
      <c r="K17" s="139" t="inlineStr">
        <is>
          <t>MMT</t>
        </is>
      </c>
    </row>
    <row r="18" ht="27.75" customHeight="1" s="108">
      <c r="A18" s="131" t="inlineStr">
        <is>
          <t>19.01.2026</t>
        </is>
      </c>
      <c r="B18" s="131" t="inlineStr">
        <is>
          <t>INV-2563</t>
        </is>
      </c>
      <c r="C18" s="131" t="inlineStr">
        <is>
          <t>AL BASTAKI BUSINESS SERVICES LLC</t>
        </is>
      </c>
      <c r="D18" s="132" t="inlineStr">
        <is>
          <t>AED</t>
        </is>
      </c>
      <c r="E18" s="133" t="n">
        <v>2350</v>
      </c>
      <c r="F18" s="170" t="n">
        <v>639.89</v>
      </c>
      <c r="G18" s="171" t="inlineStr">
        <is>
          <t>✅ Paid</t>
        </is>
      </c>
      <c r="H18" s="131" t="inlineStr">
        <is>
          <t>21.01.2026</t>
        </is>
      </c>
      <c r="I18" s="172" t="inlineStr">
        <is>
          <t>FT26021H8D45</t>
        </is>
      </c>
      <c r="J18" s="138" t="inlineStr">
        <is>
          <t>Visa cancellation Dmitrii Prokhorov</t>
        </is>
      </c>
      <c r="K18" s="139" t="inlineStr">
        <is>
          <t>BALKEMY GENERAL TRADING</t>
        </is>
      </c>
    </row>
    <row r="19" ht="27.75" customHeight="1" s="108">
      <c r="A19" s="131" t="inlineStr">
        <is>
          <t>20.01.2026</t>
        </is>
      </c>
      <c r="B19" s="131" t="inlineStr">
        <is>
          <t>(JBC cheque)</t>
        </is>
      </c>
      <c r="C19" s="131" t="inlineStr">
        <is>
          <t>JBC MANAGEMENT DMCC</t>
        </is>
      </c>
      <c r="D19" s="132" t="inlineStr">
        <is>
          <t>AED</t>
        </is>
      </c>
      <c r="E19" s="133" t="n">
        <v>5000</v>
      </c>
      <c r="F19" s="170" t="n">
        <v>1361.47</v>
      </c>
      <c r="G19" s="171" t="inlineStr">
        <is>
          <t>✅ Paid</t>
        </is>
      </c>
      <c r="H19" s="131" t="inlineStr">
        <is>
          <t>21.01.2026</t>
        </is>
      </c>
      <c r="I19" s="172" t="inlineStr">
        <is>
          <t>Cheque</t>
        </is>
      </c>
      <c r="J19" s="138" t="inlineStr">
        <is>
          <t>Cheque delivered to office</t>
        </is>
      </c>
      <c r="K19" s="139" t="n"/>
    </row>
    <row r="20" ht="27.75" customHeight="1" s="108">
      <c r="A20" s="131" t="inlineStr">
        <is>
          <t>21.01.2026</t>
        </is>
      </c>
      <c r="B20" s="131" t="inlineStr">
        <is>
          <t>(Aqua Reach transfer)</t>
        </is>
      </c>
      <c r="C20" s="131" t="inlineStr">
        <is>
          <t>AQUA REACH GENERAL TRADING LLC</t>
        </is>
      </c>
      <c r="D20" s="132" t="inlineStr">
        <is>
          <t>AED</t>
        </is>
      </c>
      <c r="E20" s="133" t="n">
        <v>2121212.17</v>
      </c>
      <c r="F20" s="170" t="n">
        <v>577593.51</v>
      </c>
      <c r="G20" s="171" t="inlineStr">
        <is>
          <t>✅ Paid</t>
        </is>
      </c>
      <c r="H20" s="131" t="inlineStr">
        <is>
          <t>22.01.2026</t>
        </is>
      </c>
      <c r="I20" s="172" t="inlineStr">
        <is>
          <t>Balkemy_2,121,212.17 AED</t>
        </is>
      </c>
      <c r="J20" s="138" t="inlineStr">
        <is>
          <t>Internal Balkemy → Aqua Reach Banque Misr</t>
        </is>
      </c>
      <c r="K20" s="139" t="inlineStr">
        <is>
          <t>BALKEMY GENERAL TRADING</t>
        </is>
      </c>
    </row>
    <row r="21" ht="27.75" customHeight="1" s="108">
      <c r="A21" s="131" t="inlineStr">
        <is>
          <t>27.01.2026</t>
        </is>
      </c>
      <c r="B21" s="131" t="inlineStr">
        <is>
          <t>238-102025 + 11 others</t>
        </is>
      </c>
      <c r="C21" s="131" t="inlineStr">
        <is>
          <t>QUILL CORPORATE SERVICES LLC</t>
        </is>
      </c>
      <c r="D21" s="132" t="inlineStr">
        <is>
          <t>AED</t>
        </is>
      </c>
      <c r="E21" s="133" t="n">
        <v>55453.14</v>
      </c>
      <c r="F21" s="170" t="n">
        <v>15099.56</v>
      </c>
      <c r="G21" s="171" t="inlineStr">
        <is>
          <t>✅ Paid</t>
        </is>
      </c>
      <c r="H21" s="131" t="inlineStr">
        <is>
          <t>28.01.2026</t>
        </is>
      </c>
      <c r="I21" s="172" t="inlineStr">
        <is>
          <t>Ref 1177202</t>
        </is>
      </c>
      <c r="J21" s="138" t="inlineStr">
        <is>
          <t>Batch 12 invoices Oct-Dec 2025. BALKEMY payer</t>
        </is>
      </c>
      <c r="K21" s="139" t="inlineStr">
        <is>
          <t>BALKEMY GENERAL TRADING</t>
        </is>
      </c>
    </row>
    <row r="22" ht="27.75" customHeight="1" s="108">
      <c r="A22" s="131" t="inlineStr">
        <is>
          <t>29.01.2026</t>
        </is>
      </c>
      <c r="B22" s="131" t="inlineStr">
        <is>
          <t>FI.PP_230125FHT-CROWN</t>
        </is>
      </c>
      <c r="C22" s="131" t="inlineStr">
        <is>
          <t>FU HAO TRADING LIMITED (HK)</t>
        </is>
      </c>
      <c r="D22" s="132" t="inlineStr">
        <is>
          <t>CNY</t>
        </is>
      </c>
      <c r="E22" s="133" t="n">
        <v>496460.13</v>
      </c>
      <c r="F22" s="170" t="n">
        <v>70796.33</v>
      </c>
      <c r="G22" s="171" t="inlineStr">
        <is>
          <t>✅ Paid</t>
        </is>
      </c>
      <c r="H22" s="131" t="inlineStr">
        <is>
          <t>04.02.2026</t>
        </is>
      </c>
      <c r="I22" s="172" t="inlineStr">
        <is>
          <t>CNY TT / Elitesphere</t>
        </is>
      </c>
      <c r="J22" s="138" t="inlineStr">
        <is>
          <t>China mktg svcs. Crown Powerful. HKD 550,250</t>
        </is>
      </c>
      <c r="K22" s="139" t="inlineStr">
        <is>
          <t>ELITESPHERE PTE LTD</t>
        </is>
      </c>
    </row>
    <row r="23" ht="27.75" customHeight="1" s="108">
      <c r="A23" s="131" t="inlineStr">
        <is>
          <t>30.01.2026</t>
        </is>
      </c>
      <c r="B23" s="131" t="inlineStr">
        <is>
          <t>INV-2601-005</t>
        </is>
      </c>
      <c r="C23" s="131" t="inlineStr">
        <is>
          <t>MENURISTIC PTE LTD</t>
        </is>
      </c>
      <c r="D23" s="132" t="inlineStr">
        <is>
          <t>USD</t>
        </is>
      </c>
      <c r="E23" s="133" t="n">
        <v>2330</v>
      </c>
      <c r="F23" s="170" t="n">
        <v>2330</v>
      </c>
      <c r="G23" s="171" t="inlineStr">
        <is>
          <t>✅ Paid</t>
        </is>
      </c>
      <c r="H23" s="131" t="inlineStr">
        <is>
          <t>04.02.2026</t>
        </is>
      </c>
      <c r="I23" s="172" t="inlineStr">
        <is>
          <t>FT260346180T</t>
        </is>
      </c>
      <c r="J23" s="138" t="inlineStr">
        <is>
          <t>⚠ Was SGD invoice — agent paid in USD</t>
        </is>
      </c>
      <c r="K23" s="139" t="inlineStr">
        <is>
          <t>ELITESPHERE PTE LTD</t>
        </is>
      </c>
    </row>
    <row r="24" ht="27.75" customHeight="1" s="108">
      <c r="A24" s="131" t="inlineStr">
        <is>
          <t>11.02.2026</t>
        </is>
      </c>
      <c r="B24" s="131" t="inlineStr">
        <is>
          <t>CS/26/01/1407</t>
        </is>
      </c>
      <c r="C24" s="131" t="inlineStr">
        <is>
          <t>RSM STONE FOREST CORPSERVE PTE LTD</t>
        </is>
      </c>
      <c r="D24" s="132" t="inlineStr">
        <is>
          <t>SGD</t>
        </is>
      </c>
      <c r="E24" s="133" t="n">
        <v>1150</v>
      </c>
      <c r="F24" s="170" t="n">
        <v>917.4299999999999</v>
      </c>
      <c r="G24" s="171" t="inlineStr">
        <is>
          <t>✅ Paid</t>
        </is>
      </c>
      <c r="H24" s="131" t="inlineStr">
        <is>
          <t>17.02.2026</t>
        </is>
      </c>
      <c r="I24" s="172" t="inlineStr">
        <is>
          <t>FT26047DC1BF+FT2604752HCH</t>
        </is>
      </c>
      <c r="J24" s="138" t="inlineStr">
        <is>
          <t>Myanmar Petroleum Svcs</t>
        </is>
      </c>
      <c r="K24" s="139" t="inlineStr">
        <is>
          <t>Myanmar Petroleum Svcs</t>
        </is>
      </c>
    </row>
    <row r="25" ht="27.75" customHeight="1" s="108">
      <c r="A25" s="131" t="inlineStr">
        <is>
          <t>11.02.2026</t>
        </is>
      </c>
      <c r="B25" s="131" t="inlineStr">
        <is>
          <t>CS/26/01/1408</t>
        </is>
      </c>
      <c r="C25" s="131" t="inlineStr">
        <is>
          <t>RSM STONE FOREST CORPSERVE PTE LTD</t>
        </is>
      </c>
      <c r="D25" s="132" t="inlineStr">
        <is>
          <t>SGD</t>
        </is>
      </c>
      <c r="E25" s="133" t="n">
        <v>776.2</v>
      </c>
      <c r="F25" s="170" t="n">
        <v>619.23</v>
      </c>
      <c r="G25" s="171" t="inlineStr">
        <is>
          <t>✅ Paid</t>
        </is>
      </c>
      <c r="H25" s="131" t="inlineStr">
        <is>
          <t>17.02.2026</t>
        </is>
      </c>
      <c r="I25" s="172" t="inlineStr">
        <is>
          <t>FT26047DC1BF+FT2604752HCH</t>
        </is>
      </c>
      <c r="J25" s="138" t="inlineStr">
        <is>
          <t>MMI</t>
        </is>
      </c>
      <c r="K25" s="139" t="inlineStr">
        <is>
          <t>MMI</t>
        </is>
      </c>
    </row>
    <row r="26" ht="27.75" customHeight="1" s="108">
      <c r="A26" s="131" t="inlineStr">
        <is>
          <t>11.02.2026</t>
        </is>
      </c>
      <c r="B26" s="131" t="inlineStr">
        <is>
          <t>CS/26/01/1409</t>
        </is>
      </c>
      <c r="C26" s="131" t="inlineStr">
        <is>
          <t>RSM STONE FOREST CORPSERVE PTE LTD</t>
        </is>
      </c>
      <c r="D26" s="132" t="inlineStr">
        <is>
          <t>SGD</t>
        </is>
      </c>
      <c r="E26" s="133" t="n">
        <v>703.1</v>
      </c>
      <c r="F26" s="170" t="n">
        <v>560.91</v>
      </c>
      <c r="G26" s="171" t="inlineStr">
        <is>
          <t>✅ Paid</t>
        </is>
      </c>
      <c r="H26" s="131" t="inlineStr">
        <is>
          <t>17.02.2026</t>
        </is>
      </c>
      <c r="I26" s="172" t="inlineStr">
        <is>
          <t>FT26047DC1BF+FT2604752HCH</t>
        </is>
      </c>
      <c r="J26" s="138" t="inlineStr">
        <is>
          <t>MMR</t>
        </is>
      </c>
      <c r="K26" s="139" t="inlineStr">
        <is>
          <t>MMR</t>
        </is>
      </c>
    </row>
    <row r="27" ht="27.75" customHeight="1" s="108">
      <c r="A27" s="131" t="inlineStr">
        <is>
          <t>11.02.2026</t>
        </is>
      </c>
      <c r="B27" s="131" t="inlineStr">
        <is>
          <t>CS/26/01/1410</t>
        </is>
      </c>
      <c r="C27" s="131" t="inlineStr">
        <is>
          <t>RSM STONE FOREST CORPSERVE PTE LTD</t>
        </is>
      </c>
      <c r="D27" s="132" t="inlineStr">
        <is>
          <t>SGD</t>
        </is>
      </c>
      <c r="E27" s="133" t="n">
        <v>643.1</v>
      </c>
      <c r="F27" s="170" t="n">
        <v>513.04</v>
      </c>
      <c r="G27" s="171" t="inlineStr">
        <is>
          <t>✅ Paid</t>
        </is>
      </c>
      <c r="H27" s="131" t="inlineStr">
        <is>
          <t>17.02.2026</t>
        </is>
      </c>
      <c r="I27" s="172" t="inlineStr">
        <is>
          <t>FT26047DC1BF+FT2604752HCH</t>
        </is>
      </c>
      <c r="J27" s="138" t="inlineStr">
        <is>
          <t>MMT</t>
        </is>
      </c>
      <c r="K27" s="139" t="inlineStr">
        <is>
          <t>MMT</t>
        </is>
      </c>
    </row>
    <row r="28" ht="27.75" customHeight="1" s="108">
      <c r="A28" s="131" t="inlineStr">
        <is>
          <t>11.02.2026</t>
        </is>
      </c>
      <c r="B28" s="131" t="inlineStr">
        <is>
          <t>CS/26/01/1411+1462+1549</t>
        </is>
      </c>
      <c r="C28" s="131" t="inlineStr">
        <is>
          <t>RSM STONE FOREST CORPSERVE PTE LTD</t>
        </is>
      </c>
      <c r="D28" s="132" t="inlineStr">
        <is>
          <t>SGD</t>
        </is>
      </c>
      <c r="E28" s="133" t="n">
        <v>2913.05</v>
      </c>
      <c r="F28" s="170" t="n">
        <v>2323.93</v>
      </c>
      <c r="G28" s="171" t="inlineStr">
        <is>
          <t>✅ Paid</t>
        </is>
      </c>
      <c r="H28" s="131" t="inlineStr">
        <is>
          <t>17.02.2026</t>
        </is>
      </c>
      <c r="I28" s="172" t="inlineStr">
        <is>
          <t>FT26047DC1BF+FT2604752HCH</t>
        </is>
      </c>
      <c r="J28" s="138" t="inlineStr">
        <is>
          <t>MME+Maritime Shipping+Asia Shipco. Total 7 = 8,596.35 SGD</t>
        </is>
      </c>
      <c r="K28" s="139" t="inlineStr">
        <is>
          <t>MME + Maritime Shipping + Asia Shipco</t>
        </is>
      </c>
    </row>
    <row r="29" ht="27.75" customHeight="1" s="108">
      <c r="A29" s="131" t="inlineStr">
        <is>
          <t>11.02.2026</t>
        </is>
      </c>
      <c r="B29" s="131" t="inlineStr">
        <is>
          <t>014/02/2026</t>
        </is>
      </c>
      <c r="C29" s="131" t="inlineStr">
        <is>
          <t>KINGLET LTD (Cyprus)</t>
        </is>
      </c>
      <c r="D29" s="132" t="inlineStr">
        <is>
          <t>EUR</t>
        </is>
      </c>
      <c r="E29" s="133" t="n">
        <v>2800</v>
      </c>
      <c r="F29" s="170" t="n">
        <v>3319.9</v>
      </c>
      <c r="G29" s="171" t="inlineStr">
        <is>
          <t>✅ Paid</t>
        </is>
      </c>
      <c r="H29" s="131" t="inlineStr">
        <is>
          <t>17.02.2026</t>
        </is>
      </c>
      <c r="I29" s="172" t="inlineStr">
        <is>
          <t>FT26047G4HBJ</t>
        </is>
      </c>
      <c r="J29" s="138" t="inlineStr">
        <is>
          <t>KYC/admin Gornik Trading. Nicosia.</t>
        </is>
      </c>
      <c r="K29" s="139" t="inlineStr">
        <is>
          <t>GORNIK TRADING LTD</t>
        </is>
      </c>
    </row>
    <row r="30" ht="27.75" customHeight="1" s="108">
      <c r="A30" s="131" t="inlineStr">
        <is>
          <t>18.02.2026</t>
        </is>
      </c>
      <c r="B30" s="131" t="inlineStr">
        <is>
          <t>2053_RO</t>
        </is>
      </c>
      <c r="C30" s="131" t="inlineStr">
        <is>
          <t>BUSINESS WITHOUT BORDERS LLC</t>
        </is>
      </c>
      <c r="D30" s="132" t="inlineStr">
        <is>
          <t>AED</t>
        </is>
      </c>
      <c r="E30" s="133" t="n">
        <v>86520</v>
      </c>
      <c r="F30" s="170" t="n">
        <v>23558.88</v>
      </c>
      <c r="G30" s="171" t="inlineStr">
        <is>
          <t>✅ Paid</t>
        </is>
      </c>
      <c r="H30" s="131" t="inlineStr">
        <is>
          <t>24.02.2026</t>
        </is>
      </c>
      <c r="I30" s="172" t="inlineStr">
        <is>
          <t>FT260556HH32</t>
        </is>
      </c>
      <c r="J30" s="138" t="inlineStr">
        <is>
          <t>HoN RAKEZ L&amp;L renewal 4 companies</t>
        </is>
      </c>
      <c r="K30" s="139" t="n"/>
    </row>
    <row r="31" ht="27.75" customHeight="1" s="108">
      <c r="A31" s="131" t="inlineStr">
        <is>
          <t>18.02.2026</t>
        </is>
      </c>
      <c r="B31" s="131" t="inlineStr">
        <is>
          <t>2054_RO</t>
        </is>
      </c>
      <c r="C31" s="131" t="inlineStr">
        <is>
          <t>BUSINESS WITHOUT BORDERS LLC</t>
        </is>
      </c>
      <c r="D31" s="132" t="inlineStr">
        <is>
          <t>AED</t>
        </is>
      </c>
      <c r="E31" s="133" t="n">
        <v>66412.5</v>
      </c>
      <c r="F31" s="170" t="n">
        <v>18083.73</v>
      </c>
      <c r="G31" s="171" t="inlineStr">
        <is>
          <t>✅ Paid</t>
        </is>
      </c>
      <c r="H31" s="131" t="inlineStr">
        <is>
          <t>24.02.2026</t>
        </is>
      </c>
      <c r="I31" s="172" t="inlineStr">
        <is>
          <t>FT260554C5DC</t>
        </is>
      </c>
      <c r="J31" s="138" t="inlineStr">
        <is>
          <t>HoN L&amp;L renewal Al Salaam Solutions</t>
        </is>
      </c>
      <c r="K31" s="139" t="n"/>
    </row>
    <row r="32" ht="27.75" customHeight="1" s="108">
      <c r="A32" s="131" t="inlineStr">
        <is>
          <t>20.02.2026</t>
        </is>
      </c>
      <c r="B32" s="131" t="inlineStr">
        <is>
          <t>2075_RO</t>
        </is>
      </c>
      <c r="C32" s="131" t="inlineStr">
        <is>
          <t>BUSINESS WITHOUT BORDERS LLC</t>
        </is>
      </c>
      <c r="D32" s="132" t="inlineStr">
        <is>
          <t>AED</t>
        </is>
      </c>
      <c r="E32" s="133" t="n">
        <v>13650</v>
      </c>
      <c r="F32" s="170" t="n">
        <v>3716.81</v>
      </c>
      <c r="G32" s="171" t="inlineStr">
        <is>
          <t>✅ Paid</t>
        </is>
      </c>
      <c r="H32" s="131" t="inlineStr">
        <is>
          <t>24.02.2026</t>
        </is>
      </c>
      <c r="I32" s="172" t="inlineStr">
        <is>
          <t>FT26055VFJC0</t>
        </is>
      </c>
      <c r="J32" s="138" t="inlineStr">
        <is>
          <t>Share transfer IFZA — Muhammed Fazal</t>
        </is>
      </c>
      <c r="K32" s="139" t="n"/>
    </row>
    <row r="33" ht="27.75" customHeight="1" s="108">
      <c r="A33" s="173" t="inlineStr">
        <is>
          <t>19.02.2026</t>
        </is>
      </c>
      <c r="B33" s="173" t="inlineStr">
        <is>
          <t>DNMUW-487333+562223+563799</t>
        </is>
      </c>
      <c r="C33" s="173" t="inlineStr">
        <is>
          <t>DUBAI INSURANCE COMPANY</t>
        </is>
      </c>
      <c r="D33" s="174" t="inlineStr">
        <is>
          <t>AED</t>
        </is>
      </c>
      <c r="E33" s="175" t="n">
        <v>197334.74</v>
      </c>
      <c r="F33" s="152" t="n">
        <v>53733.08</v>
      </c>
      <c r="G33" s="176" t="inlineStr">
        <is>
          <t>✅ Paid</t>
        </is>
      </c>
      <c r="H33" s="177" t="inlineStr">
        <is>
          <t>27.02.2026</t>
        </is>
      </c>
      <c r="I33" s="178" t="inlineStr">
        <is>
          <t>1208172</t>
        </is>
      </c>
      <c r="J33" s="138" t="inlineStr">
        <is>
          <t>3 invoices. Balkemy NOC letter in progress</t>
        </is>
      </c>
      <c r="K33" s="139" t="inlineStr">
        <is>
          <t>TROVECO DMCC</t>
        </is>
      </c>
    </row>
    <row r="34" ht="27.75" customHeight="1" s="108">
      <c r="A34" s="173" t="inlineStr">
        <is>
          <t>19.02.2026</t>
        </is>
      </c>
      <c r="B34" s="173" t="inlineStr">
        <is>
          <t>D-01-25-25172+D-01-26-01144</t>
        </is>
      </c>
      <c r="C34" s="173" t="inlineStr">
        <is>
          <t>ORIENT INSURANCE</t>
        </is>
      </c>
      <c r="D34" s="174" t="inlineStr">
        <is>
          <t>AED</t>
        </is>
      </c>
      <c r="E34" s="175" t="n">
        <v>17799.36</v>
      </c>
      <c r="F34" s="152" t="n">
        <v>4846.66</v>
      </c>
      <c r="G34" s="176" t="inlineStr">
        <is>
          <t>✅ Paid</t>
        </is>
      </c>
      <c r="H34" s="177" t="inlineStr">
        <is>
          <t>27.02.2026</t>
        </is>
      </c>
      <c r="I34" s="178" t="inlineStr">
        <is>
          <t>1208194</t>
        </is>
      </c>
      <c r="J34" s="138" t="inlineStr">
        <is>
          <t>2 invoices. Balkemy NOC letter in progress</t>
        </is>
      </c>
      <c r="K34" s="139" t="inlineStr">
        <is>
          <t>TROVECO DMCC</t>
        </is>
      </c>
    </row>
    <row r="35" ht="27.75" customHeight="1" s="108">
      <c r="A35" s="173" t="inlineStr">
        <is>
          <t>19.02.2026</t>
        </is>
      </c>
      <c r="B35" s="173" t="inlineStr">
        <is>
          <t>FTIV000638</t>
        </is>
      </c>
      <c r="C35" s="173" t="inlineStr">
        <is>
          <t>BERNARD</t>
        </is>
      </c>
      <c r="D35" s="174" t="inlineStr">
        <is>
          <t>AED</t>
        </is>
      </c>
      <c r="E35" s="175" t="n">
        <v>14988.6</v>
      </c>
      <c r="F35" s="152" t="n">
        <v>4081.31</v>
      </c>
      <c r="G35" s="176" t="inlineStr">
        <is>
          <t>✅ Paid</t>
        </is>
      </c>
      <c r="H35" s="177" t="inlineStr">
        <is>
          <t>27.02.2026</t>
        </is>
      </c>
      <c r="I35" s="178" t="inlineStr">
        <is>
          <t>1208205</t>
        </is>
      </c>
      <c r="J35" s="138" t="n"/>
      <c r="K35" s="139" t="n"/>
    </row>
    <row r="36" ht="27.75" customHeight="1" s="108">
      <c r="A36" s="173" t="inlineStr">
        <is>
          <t>19.02.2026</t>
        </is>
      </c>
      <c r="B36" s="173" t="inlineStr">
        <is>
          <t>PoF SOA dd 2026-02-09</t>
        </is>
      </c>
      <c r="C36" s="173" t="inlineStr">
        <is>
          <t>MENA TERMINALS FUJAIRAH LLC FZC</t>
        </is>
      </c>
      <c r="D36" s="174" t="inlineStr">
        <is>
          <t>AED</t>
        </is>
      </c>
      <c r="E36" s="175" t="n">
        <v>13865.24</v>
      </c>
      <c r="F36" s="152" t="n">
        <v>3775.42</v>
      </c>
      <c r="G36" s="176" t="inlineStr">
        <is>
          <t>✅ Paid</t>
        </is>
      </c>
      <c r="H36" s="177" t="inlineStr">
        <is>
          <t>27.02.2026</t>
        </is>
      </c>
      <c r="I36" s="178" t="inlineStr">
        <is>
          <t>1208212</t>
        </is>
      </c>
      <c r="J36" s="138" t="inlineStr">
        <is>
          <t>NOC letter template sent</t>
        </is>
      </c>
      <c r="K36" s="139" t="inlineStr">
        <is>
          <t>TROVECO DMCC</t>
        </is>
      </c>
    </row>
    <row r="37" ht="27.75" customHeight="1" s="108">
      <c r="A37" s="173" t="inlineStr">
        <is>
          <t>19.02.2026</t>
        </is>
      </c>
      <c r="B37" s="173" t="inlineStr">
        <is>
          <t>inv000347</t>
        </is>
      </c>
      <c r="C37" s="173" t="inlineStr">
        <is>
          <t>FOIZ MENA</t>
        </is>
      </c>
      <c r="D37" s="174" t="inlineStr">
        <is>
          <t>AED</t>
        </is>
      </c>
      <c r="E37" s="175" t="n">
        <v>242022.05</v>
      </c>
      <c r="F37" s="152" t="n">
        <v>65901.17</v>
      </c>
      <c r="G37" s="179" t="inlineStr">
        <is>
          <t>⏳ Pending</t>
        </is>
      </c>
      <c r="H37" s="173" t="n"/>
      <c r="I37" s="180" t="n"/>
      <c r="J37" s="138" t="inlineStr">
        <is>
          <t>FOIZ MENA inv000347 — amount from invoice PDF</t>
        </is>
      </c>
      <c r="K37" s="139" t="n"/>
    </row>
    <row r="38" ht="27.75" customHeight="1" s="108">
      <c r="A38" s="173" t="inlineStr">
        <is>
          <t>19.02.2026</t>
        </is>
      </c>
      <c r="B38" s="173" t="inlineStr">
        <is>
          <t>GL-1589</t>
        </is>
      </c>
      <c r="C38" s="173" t="inlineStr">
        <is>
          <t>AMA GLOBAL AUDITING</t>
        </is>
      </c>
      <c r="D38" s="174" t="inlineStr">
        <is>
          <t>USD</t>
        </is>
      </c>
      <c r="E38" s="175" t="n">
        <v>6037.5</v>
      </c>
      <c r="F38" s="152" t="n">
        <v>6037.5</v>
      </c>
      <c r="G38" s="179" t="inlineStr">
        <is>
          <t>⏳ Pending</t>
        </is>
      </c>
      <c r="H38" s="173" t="n"/>
      <c r="I38" s="180" t="n"/>
      <c r="J38" s="138" t="inlineStr">
        <is>
          <t>AMA GLOBAL GL-1589 — amount from invoice PDF</t>
        </is>
      </c>
      <c r="K38" s="139" t="n"/>
    </row>
    <row r="39" ht="27.75" customHeight="1" s="108">
      <c r="A39" s="173" t="inlineStr">
        <is>
          <t>19.02.2026</t>
        </is>
      </c>
      <c r="B39" s="173" t="inlineStr">
        <is>
          <t>DXL-111843</t>
        </is>
      </c>
      <c r="C39" s="173" t="inlineStr">
        <is>
          <t>GEOCHEM</t>
        </is>
      </c>
      <c r="D39" s="174" t="inlineStr">
        <is>
          <t>AED</t>
        </is>
      </c>
      <c r="E39" s="175" t="n">
        <v>8032.5</v>
      </c>
      <c r="F39" s="152" t="n">
        <v>2187.2</v>
      </c>
      <c r="G39" s="179" t="inlineStr">
        <is>
          <t>⏳ Pending</t>
        </is>
      </c>
      <c r="H39" s="173" t="n"/>
      <c r="I39" s="180" t="n"/>
      <c r="J39" s="138" t="inlineStr">
        <is>
          <t>GEOCHEM DXL-111843 — amount from invoice PDF</t>
        </is>
      </c>
      <c r="K39" s="139" t="inlineStr">
        <is>
          <t>TROVECO DMCC</t>
        </is>
      </c>
    </row>
    <row r="40" ht="27.75" customHeight="1" s="108">
      <c r="A40" s="173" t="inlineStr">
        <is>
          <t>19.02.2026</t>
        </is>
      </c>
      <c r="B40" s="173" t="inlineStr">
        <is>
          <t>2000170135</t>
        </is>
      </c>
      <c r="C40" s="173" t="inlineStr">
        <is>
          <t>AL WATAN</t>
        </is>
      </c>
      <c r="D40" s="174" t="inlineStr">
        <is>
          <t>AED</t>
        </is>
      </c>
      <c r="E40" s="175" t="n">
        <v>30240</v>
      </c>
      <c r="F40" s="152" t="n">
        <v>8234.17</v>
      </c>
      <c r="G40" s="179" t="inlineStr">
        <is>
          <t>⏳ Pending</t>
        </is>
      </c>
      <c r="H40" s="173" t="n"/>
      <c r="I40" s="180" t="n"/>
      <c r="J40" s="138" t="inlineStr">
        <is>
          <t>AL WATAN 2000170135 — amount from invoice PDF</t>
        </is>
      </c>
      <c r="K40" s="139" t="inlineStr">
        <is>
          <t>RAWRIMA FZCO</t>
        </is>
      </c>
    </row>
    <row r="41" ht="27.75" customHeight="1" s="108">
      <c r="A41" s="173" t="inlineStr">
        <is>
          <t>24.02.2026</t>
        </is>
      </c>
      <c r="B41" s="173" t="inlineStr">
        <is>
          <t>GP Shipping batch</t>
        </is>
      </c>
      <c r="C41" s="173" t="inlineStr">
        <is>
          <t>GOOD PARTNER SHIPPING CO LTD (KR)</t>
        </is>
      </c>
      <c r="D41" s="174" t="inlineStr">
        <is>
          <t>USD</t>
        </is>
      </c>
      <c r="E41" s="175" t="n">
        <v>19024.13</v>
      </c>
      <c r="F41" s="152" t="n">
        <v>19024.13</v>
      </c>
      <c r="G41" s="176" t="inlineStr">
        <is>
          <t>✅ Paid</t>
        </is>
      </c>
      <c r="H41" s="177" t="inlineStr">
        <is>
          <t>26.02.2026</t>
        </is>
      </c>
      <c r="I41" s="178" t="inlineStr">
        <is>
          <t>FT26057CT3T4</t>
        </is>
      </c>
      <c r="J41" s="138" t="inlineStr">
        <is>
          <t>Kookmin Bank Korea</t>
        </is>
      </c>
      <c r="K41" s="139" t="n"/>
    </row>
    <row r="42" ht="27.75" customHeight="1" s="108">
      <c r="A42" s="173" t="inlineStr">
        <is>
          <t>23.02.2026</t>
        </is>
      </c>
      <c r="B42" s="173" t="inlineStr">
        <is>
          <t>(TD International)</t>
        </is>
      </c>
      <c r="C42" s="173" t="inlineStr">
        <is>
          <t>TD INTERNATIONAL LLC</t>
        </is>
      </c>
      <c r="D42" s="174" t="inlineStr">
        <is>
          <t>USD</t>
        </is>
      </c>
      <c r="E42" s="175" t="n">
        <v>200000</v>
      </c>
      <c r="F42" s="152" t="n">
        <v>200000</v>
      </c>
      <c r="G42" s="179" t="inlineStr">
        <is>
          <t>⏳ Pending</t>
        </is>
      </c>
      <c r="H42" s="173" t="n"/>
      <c r="I42" s="180" t="n"/>
      <c r="J42" s="138" t="inlineStr">
        <is>
          <t>Chase Bank CHASUS33. From BALKEMY</t>
        </is>
      </c>
      <c r="K42" s="139" t="n"/>
    </row>
    <row r="43" ht="27.75" customHeight="1" s="108">
      <c r="A43" s="131" t="inlineStr">
        <is>
          <t>25.02.2026</t>
        </is>
      </c>
      <c r="B43" s="131" t="inlineStr">
        <is>
          <t>INV 4410 (5YZ W L L-2)</t>
        </is>
      </c>
      <c r="C43" s="131" t="inlineStr">
        <is>
          <t>5YZ W.L.L</t>
        </is>
      </c>
      <c r="D43" s="132" t="inlineStr">
        <is>
          <t>BHD</t>
        </is>
      </c>
      <c r="E43" s="133" t="n">
        <v>1980</v>
      </c>
      <c r="F43" s="170" t="n">
        <v>5310.3</v>
      </c>
      <c r="G43" s="171" t="inlineStr">
        <is>
          <t>✅ Paid</t>
        </is>
      </c>
      <c r="H43" s="131" t="inlineStr">
        <is>
          <t>25.02.2026</t>
        </is>
      </c>
      <c r="I43" s="172" t="n"/>
      <c r="J43" s="138" t="inlineStr">
        <is>
          <t>Original invoice 1,980 BHD. Agent paid in AED 19,502.10 (see Transactions row 43)</t>
        </is>
      </c>
      <c r="K43" s="139" t="inlineStr">
        <is>
          <t>BALKEMY GENERAL TRADING</t>
        </is>
      </c>
    </row>
    <row r="44" ht="27.75" customHeight="1" s="108">
      <c r="A44" s="140" t="n"/>
      <c r="B44" s="140" t="n"/>
      <c r="C44" s="140" t="n"/>
      <c r="D44" s="141" t="n"/>
      <c r="E44" s="142" t="n"/>
      <c r="F44" s="142" t="n"/>
      <c r="G44" s="181" t="n"/>
      <c r="H44" s="140" t="n"/>
      <c r="I44" s="182" t="n"/>
      <c r="J44" s="138" t="n"/>
    </row>
    <row r="45" ht="27.75" customHeight="1" s="108">
      <c r="A45" s="140" t="n"/>
      <c r="B45" s="140" t="n"/>
      <c r="C45" s="140" t="n"/>
      <c r="D45" s="141" t="n"/>
      <c r="E45" s="142" t="n"/>
      <c r="F45" s="142" t="n"/>
      <c r="G45" s="181" t="n"/>
      <c r="H45" s="140" t="n"/>
      <c r="I45" s="182" t="n"/>
      <c r="J45" s="138" t="n"/>
    </row>
    <row r="46" ht="27.75" customHeight="1" s="108">
      <c r="A46" s="140" t="n"/>
      <c r="B46" s="140" t="n"/>
      <c r="C46" s="140" t="n"/>
      <c r="D46" s="141" t="n"/>
      <c r="E46" s="142" t="n"/>
      <c r="F46" s="142" t="n"/>
      <c r="G46" s="181" t="n"/>
      <c r="H46" s="140" t="n"/>
      <c r="I46" s="182" t="n"/>
      <c r="J46" s="138" t="n"/>
    </row>
    <row r="47" ht="27.75" customHeight="1" s="108">
      <c r="A47" s="140" t="n"/>
      <c r="B47" s="140" t="n"/>
      <c r="C47" s="140" t="n"/>
      <c r="D47" s="141" t="n"/>
      <c r="E47" s="142" t="n"/>
      <c r="F47" s="142" t="n"/>
      <c r="G47" s="181" t="n"/>
      <c r="H47" s="140" t="n"/>
      <c r="I47" s="182" t="n"/>
      <c r="J47" s="138" t="n"/>
    </row>
    <row r="48" ht="27.75" customHeight="1" s="108">
      <c r="A48" s="140" t="n"/>
      <c r="B48" s="140" t="n"/>
      <c r="C48" s="140" t="n"/>
      <c r="D48" s="141" t="n"/>
      <c r="E48" s="142" t="n"/>
      <c r="F48" s="142" t="n"/>
      <c r="G48" s="181" t="n"/>
      <c r="H48" s="140" t="n"/>
      <c r="I48" s="182" t="n"/>
      <c r="J48" s="138" t="n"/>
    </row>
    <row r="49" ht="27.75" customHeight="1" s="108">
      <c r="A49" s="140" t="n"/>
      <c r="B49" s="140" t="n"/>
      <c r="C49" s="140" t="n"/>
      <c r="D49" s="141" t="n"/>
      <c r="E49" s="142" t="n"/>
      <c r="F49" s="142" t="n"/>
      <c r="G49" s="181" t="n"/>
      <c r="H49" s="140" t="n"/>
      <c r="I49" s="182" t="n"/>
      <c r="J49" s="138" t="n"/>
    </row>
    <row r="50" ht="27.75" customHeight="1" s="108">
      <c r="A50" s="140" t="n"/>
      <c r="B50" s="140" t="n"/>
      <c r="C50" s="140" t="n"/>
      <c r="D50" s="141" t="n"/>
      <c r="E50" s="142" t="n"/>
      <c r="F50" s="142" t="n"/>
      <c r="G50" s="181" t="n"/>
      <c r="H50" s="140" t="n"/>
      <c r="I50" s="182" t="n"/>
      <c r="J50" s="138" t="n"/>
    </row>
    <row r="51" ht="27.75" customHeight="1" s="108">
      <c r="A51" s="140" t="n"/>
      <c r="B51" s="140" t="n"/>
      <c r="C51" s="140" t="n"/>
      <c r="D51" s="141" t="n"/>
      <c r="E51" s="142" t="n"/>
      <c r="F51" s="142" t="n"/>
      <c r="G51" s="181" t="n"/>
      <c r="H51" s="140" t="n"/>
      <c r="I51" s="182" t="n"/>
      <c r="J51" s="138" t="n"/>
    </row>
    <row r="52" ht="27.75" customHeight="1" s="108">
      <c r="A52" s="140" t="n"/>
      <c r="B52" s="140" t="n"/>
      <c r="C52" s="140" t="n"/>
      <c r="D52" s="141" t="n"/>
      <c r="E52" s="142" t="n"/>
      <c r="F52" s="142" t="n"/>
      <c r="G52" s="181" t="n"/>
      <c r="H52" s="140" t="n"/>
      <c r="I52" s="182" t="n"/>
      <c r="J52" s="138" t="n"/>
    </row>
    <row r="53" ht="27.75" customHeight="1" s="108">
      <c r="A53" s="140" t="n"/>
      <c r="B53" s="140" t="n"/>
      <c r="C53" s="140" t="n"/>
      <c r="D53" s="141" t="n"/>
      <c r="E53" s="142" t="n"/>
      <c r="F53" s="142" t="n"/>
      <c r="G53" s="181" t="n"/>
      <c r="H53" s="140" t="n"/>
      <c r="I53" s="182" t="n"/>
      <c r="J53" s="138" t="n"/>
    </row>
    <row r="54" ht="27.75" customHeight="1" s="108">
      <c r="A54" s="140" t="n"/>
      <c r="B54" s="140" t="n"/>
      <c r="C54" s="140" t="n"/>
      <c r="D54" s="141" t="n"/>
      <c r="E54" s="142" t="n"/>
      <c r="F54" s="142" t="n"/>
      <c r="G54" s="181" t="n"/>
      <c r="H54" s="140" t="n"/>
      <c r="I54" s="182" t="n"/>
      <c r="J54" s="138" t="n"/>
    </row>
    <row r="55" ht="27.75" customHeight="1" s="108">
      <c r="A55" s="140" t="n"/>
      <c r="B55" s="140" t="n"/>
      <c r="C55" s="140" t="n"/>
      <c r="D55" s="141" t="n"/>
      <c r="E55" s="142" t="n"/>
      <c r="F55" s="142" t="n"/>
      <c r="G55" s="181" t="n"/>
      <c r="H55" s="140" t="n"/>
      <c r="I55" s="182" t="n"/>
      <c r="J55" s="138" t="n"/>
    </row>
    <row r="56" ht="27.75" customHeight="1" s="108">
      <c r="A56" s="140" t="n"/>
      <c r="B56" s="140" t="n"/>
      <c r="C56" s="140" t="n"/>
      <c r="D56" s="141" t="n"/>
      <c r="E56" s="142" t="n"/>
      <c r="F56" s="142" t="n"/>
      <c r="G56" s="181" t="n"/>
      <c r="H56" s="140" t="n"/>
      <c r="I56" s="182" t="n"/>
      <c r="J56" s="138" t="n"/>
    </row>
    <row r="57" ht="27.75" customHeight="1" s="108">
      <c r="A57" s="140" t="n"/>
      <c r="B57" s="140" t="n"/>
      <c r="C57" s="140" t="n"/>
      <c r="D57" s="141" t="n"/>
      <c r="E57" s="142" t="n"/>
      <c r="F57" s="142" t="n"/>
      <c r="G57" s="181" t="n"/>
      <c r="H57" s="140" t="n"/>
      <c r="I57" s="182" t="n"/>
      <c r="J57" s="138" t="n"/>
    </row>
    <row r="58" ht="27.75" customHeight="1" s="108">
      <c r="A58" s="140" t="n"/>
      <c r="B58" s="140" t="n"/>
      <c r="C58" s="140" t="n"/>
      <c r="D58" s="141" t="n"/>
      <c r="E58" s="142" t="n"/>
      <c r="F58" s="142" t="n"/>
      <c r="G58" s="181" t="n"/>
      <c r="H58" s="140" t="n"/>
      <c r="I58" s="182" t="n"/>
      <c r="J58" s="138" t="n"/>
    </row>
    <row r="59" ht="27.75" customHeight="1" s="108">
      <c r="A59" s="140" t="n"/>
      <c r="B59" s="140" t="n"/>
      <c r="C59" s="140" t="n"/>
      <c r="D59" s="141" t="n"/>
      <c r="E59" s="142" t="n"/>
      <c r="F59" s="142" t="n"/>
      <c r="G59" s="181" t="n"/>
      <c r="H59" s="140" t="n"/>
      <c r="I59" s="182" t="n"/>
      <c r="J59" s="138" t="n"/>
    </row>
    <row r="60" ht="27.75" customHeight="1" s="108">
      <c r="A60" s="140" t="n"/>
      <c r="B60" s="140" t="n"/>
      <c r="C60" s="140" t="n"/>
      <c r="D60" s="141" t="n"/>
      <c r="E60" s="142" t="n"/>
      <c r="F60" s="142" t="n"/>
      <c r="G60" s="181" t="n"/>
      <c r="H60" s="140" t="n"/>
      <c r="I60" s="182" t="n"/>
      <c r="J60" s="138" t="n"/>
    </row>
    <row r="61" ht="27.75" customHeight="1" s="108">
      <c r="A61" s="140" t="n"/>
      <c r="B61" s="140" t="n"/>
      <c r="C61" s="140" t="n"/>
      <c r="D61" s="141" t="n"/>
      <c r="E61" s="142" t="n"/>
      <c r="F61" s="142" t="n"/>
      <c r="G61" s="181" t="n"/>
      <c r="H61" s="140" t="n"/>
      <c r="I61" s="182" t="n"/>
      <c r="J61" s="138" t="n"/>
    </row>
    <row r="62" ht="27.75" customHeight="1" s="108">
      <c r="A62" s="140" t="n"/>
      <c r="B62" s="140" t="n"/>
      <c r="C62" s="140" t="n"/>
      <c r="D62" s="141" t="n"/>
      <c r="E62" s="142" t="n"/>
      <c r="F62" s="142" t="n"/>
      <c r="G62" s="181" t="n"/>
      <c r="H62" s="140" t="n"/>
      <c r="I62" s="182" t="n"/>
      <c r="J62" s="138" t="n"/>
    </row>
    <row r="63" ht="27.75" customHeight="1" s="108">
      <c r="A63" s="140" t="n"/>
      <c r="B63" s="140" t="n"/>
      <c r="C63" s="140" t="n"/>
      <c r="D63" s="141" t="n"/>
      <c r="E63" s="142" t="n"/>
      <c r="F63" s="142" t="n"/>
      <c r="G63" s="181" t="n"/>
      <c r="H63" s="140" t="n"/>
      <c r="I63" s="182" t="n"/>
      <c r="J63" s="138" t="n"/>
    </row>
    <row r="64" ht="27.75" customHeight="1" s="108">
      <c r="A64" s="140" t="n"/>
      <c r="B64" s="140" t="n"/>
      <c r="C64" s="140" t="n"/>
      <c r="D64" s="141" t="n"/>
      <c r="E64" s="142" t="n"/>
      <c r="F64" s="142" t="n"/>
      <c r="G64" s="181" t="n"/>
      <c r="H64" s="140" t="n"/>
      <c r="I64" s="182" t="n"/>
      <c r="J64" s="138" t="n"/>
    </row>
    <row r="65" ht="27.75" customHeight="1" s="108">
      <c r="A65" s="140" t="n"/>
      <c r="B65" s="140" t="n"/>
      <c r="C65" s="140" t="n"/>
      <c r="D65" s="141" t="n"/>
      <c r="E65" s="142" t="n"/>
      <c r="F65" s="142" t="n"/>
      <c r="G65" s="181" t="n"/>
      <c r="H65" s="140" t="n"/>
      <c r="I65" s="182" t="n"/>
      <c r="J65" s="138" t="n"/>
    </row>
    <row r="66" ht="27.75" customHeight="1" s="108">
      <c r="A66" s="140" t="n"/>
      <c r="B66" s="140" t="n"/>
      <c r="C66" s="140" t="n"/>
      <c r="D66" s="141" t="n"/>
      <c r="E66" s="142" t="n"/>
      <c r="F66" s="142" t="n"/>
      <c r="G66" s="181" t="n"/>
      <c r="H66" s="140" t="n"/>
      <c r="I66" s="182" t="n"/>
      <c r="J66" s="138" t="n"/>
    </row>
    <row r="67" ht="27.75" customHeight="1" s="108">
      <c r="A67" s="140" t="n"/>
      <c r="B67" s="140" t="n"/>
      <c r="C67" s="140" t="n"/>
      <c r="D67" s="141" t="n"/>
      <c r="E67" s="142" t="n"/>
      <c r="F67" s="142" t="n"/>
      <c r="G67" s="181" t="n"/>
      <c r="H67" s="140" t="n"/>
      <c r="I67" s="182" t="n"/>
      <c r="J67" s="138" t="n"/>
    </row>
    <row r="68" ht="27.75" customHeight="1" s="108">
      <c r="A68" s="140" t="n"/>
      <c r="B68" s="140" t="n"/>
      <c r="C68" s="140" t="n"/>
      <c r="D68" s="141" t="n"/>
      <c r="E68" s="142" t="n"/>
      <c r="F68" s="142" t="n"/>
      <c r="G68" s="181" t="n"/>
      <c r="H68" s="140" t="n"/>
      <c r="I68" s="182" t="n"/>
      <c r="J68" s="138" t="n"/>
    </row>
    <row r="69" ht="27.75" customHeight="1" s="108">
      <c r="A69" s="140" t="n"/>
      <c r="B69" s="140" t="n"/>
      <c r="C69" s="140" t="n"/>
      <c r="D69" s="141" t="n"/>
      <c r="E69" s="142" t="n"/>
      <c r="F69" s="142" t="n"/>
      <c r="G69" s="181" t="n"/>
      <c r="H69" s="140" t="n"/>
      <c r="I69" s="182" t="n"/>
      <c r="J69" s="138" t="n"/>
    </row>
    <row r="70" ht="27.75" customHeight="1" s="108">
      <c r="A70" s="140" t="n"/>
      <c r="B70" s="140" t="n"/>
      <c r="C70" s="140" t="n"/>
      <c r="D70" s="141" t="n"/>
      <c r="E70" s="142" t="n"/>
      <c r="F70" s="142" t="n"/>
      <c r="G70" s="181" t="n"/>
      <c r="H70" s="140" t="n"/>
      <c r="I70" s="182" t="n"/>
      <c r="J70" s="138" t="n"/>
    </row>
    <row r="71" ht="27.75" customHeight="1" s="108">
      <c r="A71" s="140" t="n"/>
      <c r="B71" s="140" t="n"/>
      <c r="C71" s="140" t="n"/>
      <c r="D71" s="141" t="n"/>
      <c r="E71" s="142" t="n"/>
      <c r="F71" s="142" t="n"/>
      <c r="G71" s="181" t="n"/>
      <c r="H71" s="140" t="n"/>
      <c r="I71" s="182" t="n"/>
      <c r="J71" s="138" t="n"/>
    </row>
    <row r="72" ht="27.75" customHeight="1" s="108">
      <c r="A72" s="140" t="n"/>
      <c r="B72" s="140" t="n"/>
      <c r="C72" s="140" t="n"/>
      <c r="D72" s="141" t="n"/>
      <c r="E72" s="142" t="n"/>
      <c r="F72" s="142" t="n"/>
      <c r="G72" s="181" t="n"/>
      <c r="H72" s="140" t="n"/>
      <c r="I72" s="182" t="n"/>
      <c r="J72" s="138" t="n"/>
    </row>
    <row r="73" ht="27.75" customHeight="1" s="108">
      <c r="A73" s="140" t="n"/>
      <c r="B73" s="140" t="n"/>
      <c r="C73" s="140" t="n"/>
      <c r="D73" s="141" t="n"/>
      <c r="E73" s="142" t="n"/>
      <c r="F73" s="142" t="n"/>
      <c r="G73" s="181" t="n"/>
      <c r="H73" s="140" t="n"/>
      <c r="I73" s="182" t="n"/>
      <c r="J73" s="138" t="n"/>
    </row>
    <row r="74" ht="27.75" customHeight="1" s="108">
      <c r="A74" s="140" t="n"/>
      <c r="B74" s="140" t="n"/>
      <c r="C74" s="140" t="n"/>
      <c r="D74" s="141" t="n"/>
      <c r="E74" s="142" t="n"/>
      <c r="F74" s="142" t="n"/>
      <c r="G74" s="181" t="n"/>
      <c r="H74" s="140" t="n"/>
      <c r="I74" s="182" t="n"/>
      <c r="J74" s="138" t="n"/>
    </row>
    <row r="75" ht="27.75" customHeight="1" s="108">
      <c r="A75" s="140" t="n"/>
      <c r="B75" s="140" t="n"/>
      <c r="C75" s="140" t="n"/>
      <c r="D75" s="141" t="n"/>
      <c r="E75" s="142" t="n"/>
      <c r="F75" s="142" t="n"/>
      <c r="G75" s="181" t="n"/>
      <c r="H75" s="140" t="n"/>
      <c r="I75" s="182" t="n"/>
      <c r="J75" s="138" t="n"/>
    </row>
    <row r="76" ht="27.75" customHeight="1" s="108">
      <c r="A76" s="140" t="n"/>
      <c r="B76" s="140" t="n"/>
      <c r="C76" s="140" t="n"/>
      <c r="D76" s="141" t="n"/>
      <c r="E76" s="142" t="n"/>
      <c r="F76" s="142" t="n"/>
      <c r="G76" s="181" t="n"/>
      <c r="H76" s="140" t="n"/>
      <c r="I76" s="182" t="n"/>
      <c r="J76" s="138" t="n"/>
    </row>
    <row r="77" ht="27.75" customHeight="1" s="108">
      <c r="A77" s="140" t="n"/>
      <c r="B77" s="140" t="n"/>
      <c r="C77" s="140" t="n"/>
      <c r="D77" s="141" t="n"/>
      <c r="E77" s="142" t="n"/>
      <c r="F77" s="142" t="n"/>
      <c r="G77" s="181" t="n"/>
      <c r="H77" s="140" t="n"/>
      <c r="I77" s="182" t="n"/>
      <c r="J77" s="138" t="n"/>
    </row>
    <row r="78" ht="27.75" customHeight="1" s="108">
      <c r="A78" s="140" t="n"/>
      <c r="B78" s="140" t="n"/>
      <c r="C78" s="140" t="n"/>
      <c r="D78" s="141" t="n"/>
      <c r="E78" s="142" t="n"/>
      <c r="F78" s="142" t="n"/>
      <c r="G78" s="181" t="n"/>
      <c r="H78" s="140" t="n"/>
      <c r="I78" s="182" t="n"/>
      <c r="J78" s="138" t="n"/>
    </row>
    <row r="79" ht="27.75" customHeight="1" s="108">
      <c r="A79" s="140" t="n"/>
      <c r="B79" s="140" t="n"/>
      <c r="C79" s="140" t="n"/>
      <c r="D79" s="141" t="n"/>
      <c r="E79" s="142" t="n"/>
      <c r="F79" s="142" t="n"/>
      <c r="G79" s="181" t="n"/>
      <c r="H79" s="140" t="n"/>
      <c r="I79" s="182" t="n"/>
      <c r="J79" s="138" t="n"/>
    </row>
    <row r="80" ht="27.75" customHeight="1" s="108">
      <c r="A80" s="140" t="n"/>
      <c r="B80" s="140" t="n"/>
      <c r="C80" s="140" t="n"/>
      <c r="D80" s="141" t="n"/>
      <c r="E80" s="142" t="n"/>
      <c r="F80" s="142" t="n"/>
      <c r="G80" s="181" t="n"/>
      <c r="H80" s="140" t="n"/>
      <c r="I80" s="182" t="n"/>
      <c r="J80" s="138" t="n"/>
    </row>
    <row r="81" ht="27.75" customHeight="1" s="108">
      <c r="A81" s="140" t="n"/>
      <c r="B81" s="140" t="n"/>
      <c r="C81" s="140" t="n"/>
      <c r="D81" s="141" t="n"/>
      <c r="E81" s="142" t="n"/>
      <c r="F81" s="142" t="n"/>
      <c r="G81" s="181" t="n"/>
      <c r="H81" s="140" t="n"/>
      <c r="I81" s="182" t="n"/>
      <c r="J81" s="138" t="n"/>
    </row>
    <row r="82" ht="27.75" customHeight="1" s="108">
      <c r="A82" s="140" t="n"/>
      <c r="B82" s="140" t="n"/>
      <c r="C82" s="140" t="n"/>
      <c r="D82" s="141" t="n"/>
      <c r="E82" s="142" t="n"/>
      <c r="F82" s="142" t="n"/>
      <c r="G82" s="181" t="n"/>
      <c r="H82" s="140" t="n"/>
      <c r="I82" s="182" t="n"/>
      <c r="J82" s="138" t="n"/>
    </row>
    <row r="83" ht="27.75" customHeight="1" s="108">
      <c r="A83" s="140" t="n"/>
      <c r="B83" s="140" t="n"/>
      <c r="C83" s="140" t="n"/>
      <c r="D83" s="141" t="n"/>
      <c r="E83" s="142" t="n"/>
      <c r="F83" s="142" t="n"/>
      <c r="G83" s="181" t="n"/>
      <c r="H83" s="140" t="n"/>
      <c r="I83" s="182" t="n"/>
      <c r="J83" s="138" t="n"/>
    </row>
    <row r="84" ht="27.75" customHeight="1" s="108">
      <c r="A84" s="140" t="n"/>
      <c r="B84" s="140" t="n"/>
      <c r="C84" s="140" t="n"/>
      <c r="D84" s="141" t="n"/>
      <c r="E84" s="142" t="n"/>
      <c r="F84" s="142" t="n"/>
      <c r="G84" s="181" t="n"/>
      <c r="H84" s="140" t="n"/>
      <c r="I84" s="182" t="n"/>
      <c r="J84" s="138" t="n"/>
    </row>
    <row r="85" ht="27.75" customHeight="1" s="108">
      <c r="A85" s="140" t="n"/>
      <c r="B85" s="140" t="n"/>
      <c r="C85" s="140" t="n"/>
      <c r="D85" s="141" t="n"/>
      <c r="E85" s="142" t="n"/>
      <c r="F85" s="142" t="n"/>
      <c r="G85" s="181" t="n"/>
      <c r="H85" s="140" t="n"/>
      <c r="I85" s="182" t="n"/>
      <c r="J85" s="138" t="n"/>
    </row>
    <row r="86" ht="27.75" customHeight="1" s="108">
      <c r="A86" s="140" t="n"/>
      <c r="B86" s="140" t="n"/>
      <c r="C86" s="140" t="n"/>
      <c r="D86" s="141" t="n"/>
      <c r="E86" s="142" t="n"/>
      <c r="F86" s="142" t="n"/>
      <c r="G86" s="181" t="n"/>
      <c r="H86" s="140" t="n"/>
      <c r="I86" s="182" t="n"/>
      <c r="J86" s="138" t="n"/>
    </row>
    <row r="87" ht="27.75" customHeight="1" s="108">
      <c r="A87" s="140" t="n"/>
      <c r="B87" s="140" t="n"/>
      <c r="C87" s="140" t="n"/>
      <c r="D87" s="141" t="n"/>
      <c r="E87" s="142" t="n"/>
      <c r="F87" s="142" t="n"/>
      <c r="G87" s="181" t="n"/>
      <c r="H87" s="140" t="n"/>
      <c r="I87" s="182" t="n"/>
      <c r="J87" s="138" t="n"/>
    </row>
    <row r="88" ht="27.75" customHeight="1" s="108">
      <c r="A88" s="140" t="n"/>
      <c r="B88" s="140" t="n"/>
      <c r="C88" s="140" t="n"/>
      <c r="D88" s="141" t="n"/>
      <c r="E88" s="142" t="n"/>
      <c r="F88" s="142" t="n"/>
      <c r="G88" s="181" t="n"/>
      <c r="H88" s="140" t="n"/>
      <c r="I88" s="182" t="n"/>
      <c r="J88" s="138" t="n"/>
    </row>
    <row r="89" ht="27.75" customHeight="1" s="108">
      <c r="A89" s="140" t="n"/>
      <c r="B89" s="140" t="n"/>
      <c r="C89" s="140" t="n"/>
      <c r="D89" s="141" t="n"/>
      <c r="E89" s="142" t="n"/>
      <c r="F89" s="142" t="n"/>
      <c r="G89" s="181" t="n"/>
      <c r="H89" s="140" t="n"/>
      <c r="I89" s="182" t="n"/>
      <c r="J89" s="138" t="n"/>
    </row>
    <row r="90" ht="27.75" customHeight="1" s="108">
      <c r="A90" s="140" t="n"/>
      <c r="B90" s="140" t="n"/>
      <c r="C90" s="140" t="n"/>
      <c r="D90" s="141" t="n"/>
      <c r="E90" s="142" t="n"/>
      <c r="F90" s="142" t="n"/>
      <c r="G90" s="181" t="n"/>
      <c r="H90" s="140" t="n"/>
      <c r="I90" s="182" t="n"/>
      <c r="J90" s="138" t="n"/>
    </row>
    <row r="91" ht="27.75" customHeight="1" s="108">
      <c r="A91" s="140" t="n"/>
      <c r="B91" s="140" t="n"/>
      <c r="C91" s="140" t="n"/>
      <c r="D91" s="141" t="n"/>
      <c r="E91" s="142" t="n"/>
      <c r="F91" s="142" t="n"/>
      <c r="G91" s="181" t="n"/>
      <c r="H91" s="140" t="n"/>
      <c r="I91" s="182" t="n"/>
      <c r="J91" s="138" t="n"/>
    </row>
    <row r="92" ht="27.75" customHeight="1" s="108">
      <c r="A92" s="140" t="n"/>
      <c r="B92" s="140" t="n"/>
      <c r="C92" s="140" t="n"/>
      <c r="D92" s="141" t="n"/>
      <c r="E92" s="142" t="n"/>
      <c r="F92" s="142" t="n"/>
      <c r="G92" s="181" t="n"/>
      <c r="H92" s="140" t="n"/>
      <c r="I92" s="182" t="n"/>
      <c r="J92" s="138" t="n"/>
    </row>
    <row r="93" ht="27.75" customHeight="1" s="108">
      <c r="A93" s="140" t="n"/>
      <c r="B93" s="140" t="n"/>
      <c r="C93" s="140" t="n"/>
      <c r="D93" s="141" t="n"/>
      <c r="E93" s="142" t="n"/>
      <c r="F93" s="142" t="n"/>
      <c r="G93" s="181" t="n"/>
      <c r="H93" s="140" t="n"/>
      <c r="I93" s="182" t="n"/>
      <c r="J93" s="138" t="n"/>
    </row>
    <row r="94" ht="27.75" customHeight="1" s="108">
      <c r="A94" s="140" t="n"/>
      <c r="B94" s="140" t="n"/>
      <c r="C94" s="140" t="n"/>
      <c r="D94" s="141" t="n"/>
      <c r="E94" s="142" t="n"/>
      <c r="F94" s="142" t="n"/>
      <c r="G94" s="181" t="n"/>
      <c r="H94" s="140" t="n"/>
      <c r="I94" s="182" t="n"/>
      <c r="J94" s="138" t="n"/>
    </row>
    <row r="95" ht="27.75" customHeight="1" s="108">
      <c r="A95" s="140" t="n"/>
      <c r="B95" s="140" t="n"/>
      <c r="C95" s="140" t="n"/>
      <c r="D95" s="141" t="n"/>
      <c r="E95" s="142" t="n"/>
      <c r="F95" s="142" t="n"/>
      <c r="G95" s="181" t="n"/>
      <c r="H95" s="140" t="n"/>
      <c r="I95" s="182" t="n"/>
      <c r="J95" s="138" t="n"/>
    </row>
    <row r="96" ht="27.75" customHeight="1" s="108">
      <c r="A96" s="140" t="n"/>
      <c r="B96" s="140" t="n"/>
      <c r="C96" s="140" t="n"/>
      <c r="D96" s="141" t="n"/>
      <c r="E96" s="142" t="n"/>
      <c r="F96" s="142" t="n"/>
      <c r="G96" s="181" t="n"/>
      <c r="H96" s="140" t="n"/>
      <c r="I96" s="182" t="n"/>
      <c r="J96" s="138" t="n"/>
    </row>
    <row r="97" ht="27.75" customHeight="1" s="108">
      <c r="A97" s="140" t="n"/>
      <c r="B97" s="140" t="n"/>
      <c r="C97" s="140" t="n"/>
      <c r="D97" s="141" t="n"/>
      <c r="E97" s="142" t="n"/>
      <c r="F97" s="142" t="n"/>
      <c r="G97" s="181" t="n"/>
      <c r="H97" s="140" t="n"/>
      <c r="I97" s="182" t="n"/>
      <c r="J97" s="138" t="n"/>
    </row>
    <row r="98" ht="27.75" customHeight="1" s="108">
      <c r="A98" s="140" t="n"/>
      <c r="B98" s="140" t="n"/>
      <c r="C98" s="140" t="n"/>
      <c r="D98" s="141" t="n"/>
      <c r="E98" s="142" t="n"/>
      <c r="F98" s="142" t="n"/>
      <c r="G98" s="181" t="n"/>
      <c r="H98" s="140" t="n"/>
      <c r="I98" s="182" t="n"/>
      <c r="J98" s="138" t="n"/>
    </row>
    <row r="99" ht="27.75" customHeight="1" s="108">
      <c r="A99" s="140" t="n"/>
      <c r="B99" s="140" t="n"/>
      <c r="C99" s="140" t="n"/>
      <c r="D99" s="141" t="n"/>
      <c r="E99" s="142" t="n"/>
      <c r="F99" s="142" t="n"/>
      <c r="G99" s="181" t="n"/>
      <c r="H99" s="140" t="n"/>
      <c r="I99" s="182" t="n"/>
      <c r="J99" s="138" t="n"/>
    </row>
    <row r="100" ht="27.75" customHeight="1" s="108">
      <c r="A100" s="140" t="n"/>
      <c r="B100" s="140" t="n"/>
      <c r="C100" s="140" t="n"/>
      <c r="D100" s="141" t="n"/>
      <c r="E100" s="142" t="n"/>
      <c r="F100" s="142" t="n"/>
      <c r="G100" s="181" t="n"/>
      <c r="H100" s="140" t="n"/>
      <c r="I100" s="182" t="n"/>
      <c r="J100" s="138" t="n"/>
    </row>
    <row r="101" ht="27.75" customHeight="1" s="108">
      <c r="A101" s="140" t="n"/>
      <c r="B101" s="140" t="n"/>
      <c r="C101" s="140" t="n"/>
      <c r="D101" s="141" t="n"/>
      <c r="E101" s="142" t="n"/>
      <c r="F101" s="142" t="n"/>
      <c r="G101" s="181" t="n"/>
      <c r="H101" s="140" t="n"/>
      <c r="I101" s="182" t="n"/>
      <c r="J101" s="138" t="n"/>
    </row>
    <row r="102" ht="27.75" customHeight="1" s="108">
      <c r="A102" s="140" t="n"/>
      <c r="B102" s="140" t="n"/>
      <c r="C102" s="140" t="n"/>
      <c r="D102" s="141" t="n"/>
      <c r="E102" s="142" t="n"/>
      <c r="F102" s="142" t="n"/>
      <c r="G102" s="181" t="n"/>
      <c r="H102" s="140" t="n"/>
      <c r="I102" s="182" t="n"/>
      <c r="J102" s="138" t="n"/>
    </row>
    <row r="103" ht="27.75" customHeight="1" s="108">
      <c r="A103" s="140" t="n"/>
      <c r="B103" s="140" t="n"/>
      <c r="C103" s="140" t="n"/>
      <c r="D103" s="141" t="n"/>
      <c r="E103" s="142" t="n"/>
      <c r="F103" s="142" t="n"/>
      <c r="G103" s="181" t="n"/>
      <c r="H103" s="140" t="n"/>
      <c r="I103" s="182" t="n"/>
      <c r="J103" s="138" t="n"/>
    </row>
    <row r="104" ht="27.75" customHeight="1" s="108">
      <c r="A104" s="140" t="n"/>
      <c r="B104" s="140" t="n"/>
      <c r="C104" s="140" t="n"/>
      <c r="D104" s="141" t="n"/>
      <c r="E104" s="142" t="n"/>
      <c r="F104" s="142" t="n"/>
      <c r="G104" s="181" t="n"/>
      <c r="H104" s="140" t="n"/>
      <c r="I104" s="182" t="n"/>
      <c r="J104" s="138" t="n"/>
    </row>
    <row r="105" ht="27.75" customHeight="1" s="108">
      <c r="A105" s="140" t="n"/>
      <c r="B105" s="140" t="n"/>
      <c r="C105" s="140" t="n"/>
      <c r="D105" s="141" t="n"/>
      <c r="E105" s="142" t="n"/>
      <c r="F105" s="142" t="n"/>
      <c r="G105" s="181" t="n"/>
      <c r="H105" s="140" t="n"/>
      <c r="I105" s="182" t="n"/>
      <c r="J105" s="138" t="n"/>
    </row>
    <row r="106" ht="27.75" customHeight="1" s="108">
      <c r="A106" s="140" t="n"/>
      <c r="B106" s="140" t="n"/>
      <c r="C106" s="140" t="n"/>
      <c r="D106" s="141" t="n"/>
      <c r="E106" s="142" t="n"/>
      <c r="F106" s="142" t="n"/>
      <c r="G106" s="181" t="n"/>
      <c r="H106" s="140" t="n"/>
      <c r="I106" s="182" t="n"/>
      <c r="J106" s="138" t="n"/>
    </row>
    <row r="107" ht="27.75" customHeight="1" s="108">
      <c r="A107" s="140" t="n"/>
      <c r="B107" s="140" t="n"/>
      <c r="C107" s="140" t="n"/>
      <c r="D107" s="141" t="n"/>
      <c r="E107" s="142" t="n"/>
      <c r="F107" s="142" t="n"/>
      <c r="G107" s="181" t="n"/>
      <c r="H107" s="140" t="n"/>
      <c r="I107" s="182" t="n"/>
      <c r="J107" s="138" t="n"/>
    </row>
    <row r="108" ht="27.75" customHeight="1" s="108">
      <c r="A108" s="140" t="n"/>
      <c r="B108" s="140" t="n"/>
      <c r="C108" s="140" t="n"/>
      <c r="D108" s="141" t="n"/>
      <c r="E108" s="142" t="n"/>
      <c r="F108" s="142" t="n"/>
      <c r="G108" s="181" t="n"/>
      <c r="H108" s="140" t="n"/>
      <c r="I108" s="182" t="n"/>
      <c r="J108" s="138" t="n"/>
    </row>
    <row r="109" ht="27.75" customHeight="1" s="108">
      <c r="A109" s="140" t="n"/>
      <c r="B109" s="140" t="n"/>
      <c r="C109" s="140" t="n"/>
      <c r="D109" s="141" t="n"/>
      <c r="E109" s="142" t="n"/>
      <c r="F109" s="142" t="n"/>
      <c r="G109" s="181" t="n"/>
      <c r="H109" s="140" t="n"/>
      <c r="I109" s="182" t="n"/>
      <c r="J109" s="138" t="n"/>
    </row>
    <row r="110" ht="27.75" customHeight="1" s="108">
      <c r="A110" s="140" t="n"/>
      <c r="B110" s="140" t="n"/>
      <c r="C110" s="140" t="n"/>
      <c r="D110" s="141" t="n"/>
      <c r="E110" s="142" t="n"/>
      <c r="F110" s="142" t="n"/>
      <c r="G110" s="181" t="n"/>
      <c r="H110" s="140" t="n"/>
      <c r="I110" s="182" t="n"/>
      <c r="J110" s="138" t="n"/>
    </row>
    <row r="111" ht="27.75" customHeight="1" s="108">
      <c r="A111" s="140" t="n"/>
      <c r="B111" s="140" t="n"/>
      <c r="C111" s="140" t="n"/>
      <c r="D111" s="141" t="n"/>
      <c r="E111" s="142" t="n"/>
      <c r="F111" s="142" t="n"/>
      <c r="G111" s="181" t="n"/>
      <c r="H111" s="140" t="n"/>
      <c r="I111" s="182" t="n"/>
      <c r="J111" s="138" t="n"/>
    </row>
    <row r="112" ht="27.75" customHeight="1" s="108">
      <c r="A112" s="140" t="n"/>
      <c r="B112" s="140" t="n"/>
      <c r="C112" s="140" t="n"/>
      <c r="D112" s="141" t="n"/>
      <c r="E112" s="142" t="n"/>
      <c r="F112" s="142" t="n"/>
      <c r="G112" s="181" t="n"/>
      <c r="H112" s="140" t="n"/>
      <c r="I112" s="182" t="n"/>
      <c r="J112" s="138" t="n"/>
    </row>
    <row r="113" ht="27.75" customHeight="1" s="108">
      <c r="A113" s="140" t="n"/>
      <c r="B113" s="140" t="n"/>
      <c r="C113" s="140" t="n"/>
      <c r="D113" s="141" t="n"/>
      <c r="E113" s="142" t="n"/>
      <c r="F113" s="142" t="n"/>
      <c r="G113" s="181" t="n"/>
      <c r="H113" s="140" t="n"/>
      <c r="I113" s="182" t="n"/>
      <c r="J113" s="138" t="n"/>
    </row>
    <row r="114" ht="27.75" customHeight="1" s="108">
      <c r="A114" s="140" t="n"/>
      <c r="B114" s="140" t="n"/>
      <c r="C114" s="140" t="n"/>
      <c r="D114" s="141" t="n"/>
      <c r="E114" s="142" t="n"/>
      <c r="F114" s="142" t="n"/>
      <c r="G114" s="181" t="n"/>
      <c r="H114" s="140" t="n"/>
      <c r="I114" s="182" t="n"/>
      <c r="J114" s="138" t="n"/>
    </row>
    <row r="115" ht="27.75" customHeight="1" s="108">
      <c r="A115" s="140" t="n"/>
      <c r="B115" s="140" t="n"/>
      <c r="C115" s="140" t="n"/>
      <c r="D115" s="141" t="n"/>
      <c r="E115" s="142" t="n"/>
      <c r="F115" s="142" t="n"/>
      <c r="G115" s="181" t="n"/>
      <c r="H115" s="140" t="n"/>
      <c r="I115" s="182" t="n"/>
      <c r="J115" s="138" t="n"/>
    </row>
    <row r="116" ht="27.75" customHeight="1" s="108">
      <c r="A116" s="140" t="n"/>
      <c r="B116" s="140" t="n"/>
      <c r="C116" s="140" t="n"/>
      <c r="D116" s="141" t="n"/>
      <c r="E116" s="142" t="n"/>
      <c r="F116" s="142" t="n"/>
      <c r="G116" s="181" t="n"/>
      <c r="H116" s="140" t="n"/>
      <c r="I116" s="182" t="n"/>
      <c r="J116" s="138" t="n"/>
    </row>
    <row r="117" ht="27.75" customHeight="1" s="108">
      <c r="A117" s="140" t="n"/>
      <c r="B117" s="140" t="n"/>
      <c r="C117" s="140" t="n"/>
      <c r="D117" s="141" t="n"/>
      <c r="E117" s="142" t="n"/>
      <c r="F117" s="142" t="n"/>
      <c r="G117" s="181" t="n"/>
      <c r="H117" s="140" t="n"/>
      <c r="I117" s="182" t="n"/>
      <c r="J117" s="138" t="n"/>
    </row>
    <row r="118" ht="27.75" customHeight="1" s="108">
      <c r="A118" s="140" t="n"/>
      <c r="B118" s="140" t="n"/>
      <c r="C118" s="140" t="n"/>
      <c r="D118" s="141" t="n"/>
      <c r="E118" s="142" t="n"/>
      <c r="F118" s="142" t="n"/>
      <c r="G118" s="181" t="n"/>
      <c r="H118" s="140" t="n"/>
      <c r="I118" s="182" t="n"/>
      <c r="J118" s="138" t="n"/>
    </row>
    <row r="119" ht="27.75" customHeight="1" s="108">
      <c r="A119" s="140" t="n"/>
      <c r="B119" s="140" t="n"/>
      <c r="C119" s="140" t="n"/>
      <c r="D119" s="141" t="n"/>
      <c r="E119" s="142" t="n"/>
      <c r="F119" s="142" t="n"/>
      <c r="G119" s="181" t="n"/>
      <c r="H119" s="140" t="n"/>
      <c r="I119" s="182" t="n"/>
      <c r="J119" s="138" t="n"/>
    </row>
    <row r="120" ht="27.75" customHeight="1" s="108">
      <c r="A120" s="140" t="n"/>
      <c r="B120" s="140" t="n"/>
      <c r="C120" s="140" t="n"/>
      <c r="D120" s="141" t="n"/>
      <c r="E120" s="142" t="n"/>
      <c r="F120" s="142" t="n"/>
      <c r="G120" s="181" t="n"/>
      <c r="H120" s="140" t="n"/>
      <c r="I120" s="182" t="n"/>
      <c r="J120" s="138" t="n"/>
    </row>
    <row r="121" ht="27.75" customHeight="1" s="108">
      <c r="A121" s="140" t="n"/>
      <c r="B121" s="140" t="n"/>
      <c r="C121" s="140" t="n"/>
      <c r="D121" s="141" t="n"/>
      <c r="E121" s="142" t="n"/>
      <c r="F121" s="142" t="n"/>
      <c r="G121" s="181" t="n"/>
      <c r="H121" s="140" t="n"/>
      <c r="I121" s="182" t="n"/>
      <c r="J121" s="138" t="n"/>
    </row>
    <row r="122" ht="27.75" customHeight="1" s="108">
      <c r="A122" s="140" t="n"/>
      <c r="B122" s="140" t="n"/>
      <c r="C122" s="140" t="n"/>
      <c r="D122" s="141" t="n"/>
      <c r="E122" s="142" t="n"/>
      <c r="F122" s="142" t="n"/>
      <c r="G122" s="181" t="n"/>
      <c r="H122" s="140" t="n"/>
      <c r="I122" s="182" t="n"/>
      <c r="J122" s="138" t="n"/>
    </row>
    <row r="123" ht="27.75" customHeight="1" s="108">
      <c r="A123" s="140" t="n"/>
      <c r="B123" s="140" t="n"/>
      <c r="C123" s="140" t="n"/>
      <c r="D123" s="141" t="n"/>
      <c r="E123" s="142" t="n"/>
      <c r="F123" s="142" t="n"/>
      <c r="G123" s="181" t="n"/>
      <c r="H123" s="140" t="n"/>
      <c r="I123" s="182" t="n"/>
      <c r="J123" s="138" t="n"/>
    </row>
    <row r="124" ht="27.75" customHeight="1" s="108">
      <c r="A124" s="140" t="n"/>
      <c r="B124" s="140" t="n"/>
      <c r="C124" s="140" t="n"/>
      <c r="D124" s="141" t="n"/>
      <c r="E124" s="142" t="n"/>
      <c r="F124" s="142" t="n"/>
      <c r="G124" s="181" t="n"/>
      <c r="H124" s="140" t="n"/>
      <c r="I124" s="182" t="n"/>
      <c r="J124" s="138" t="n"/>
    </row>
    <row r="125" ht="27.75" customHeight="1" s="108">
      <c r="A125" s="140" t="n"/>
      <c r="B125" s="140" t="n"/>
      <c r="C125" s="140" t="n"/>
      <c r="D125" s="141" t="n"/>
      <c r="E125" s="142" t="n"/>
      <c r="F125" s="142" t="n"/>
      <c r="G125" s="181" t="n"/>
      <c r="H125" s="140" t="n"/>
      <c r="I125" s="182" t="n"/>
      <c r="J125" s="138" t="n"/>
    </row>
    <row r="126" ht="27.75" customHeight="1" s="108">
      <c r="A126" s="140" t="n"/>
      <c r="B126" s="140" t="n"/>
      <c r="C126" s="140" t="n"/>
      <c r="D126" s="141" t="n"/>
      <c r="E126" s="142" t="n"/>
      <c r="F126" s="142" t="n"/>
      <c r="G126" s="181" t="n"/>
      <c r="H126" s="140" t="n"/>
      <c r="I126" s="182" t="n"/>
      <c r="J126" s="138" t="n"/>
    </row>
    <row r="127" ht="27.75" customHeight="1" s="108">
      <c r="A127" s="140" t="n"/>
      <c r="B127" s="140" t="n"/>
      <c r="C127" s="140" t="n"/>
      <c r="D127" s="141" t="n"/>
      <c r="E127" s="142" t="n"/>
      <c r="F127" s="142" t="n"/>
      <c r="G127" s="181" t="n"/>
      <c r="H127" s="140" t="n"/>
      <c r="I127" s="182" t="n"/>
      <c r="J127" s="138" t="n"/>
    </row>
    <row r="128" ht="27.75" customHeight="1" s="108">
      <c r="A128" s="140" t="n"/>
      <c r="B128" s="140" t="n"/>
      <c r="C128" s="140" t="n"/>
      <c r="D128" s="141" t="n"/>
      <c r="E128" s="142" t="n"/>
      <c r="F128" s="142" t="n"/>
      <c r="G128" s="181" t="n"/>
      <c r="H128" s="140" t="n"/>
      <c r="I128" s="182" t="n"/>
      <c r="J128" s="138" t="n"/>
    </row>
    <row r="129" ht="27.75" customHeight="1" s="108">
      <c r="A129" s="140" t="n"/>
      <c r="B129" s="140" t="n"/>
      <c r="C129" s="140" t="n"/>
      <c r="D129" s="141" t="n"/>
      <c r="E129" s="142" t="n"/>
      <c r="F129" s="142" t="n"/>
      <c r="G129" s="181" t="n"/>
      <c r="H129" s="140" t="n"/>
      <c r="I129" s="182" t="n"/>
      <c r="J129" s="138" t="n"/>
    </row>
    <row r="130" ht="27.75" customHeight="1" s="108">
      <c r="A130" s="140" t="n"/>
      <c r="B130" s="140" t="n"/>
      <c r="C130" s="140" t="n"/>
      <c r="D130" s="141" t="n"/>
      <c r="E130" s="142" t="n"/>
      <c r="F130" s="142" t="n"/>
      <c r="G130" s="181" t="n"/>
      <c r="H130" s="140" t="n"/>
      <c r="I130" s="182" t="n"/>
      <c r="J130" s="138" t="n"/>
    </row>
    <row r="131" ht="27.75" customHeight="1" s="108">
      <c r="A131" s="140" t="n"/>
      <c r="B131" s="140" t="n"/>
      <c r="C131" s="140" t="n"/>
      <c r="D131" s="141" t="n"/>
      <c r="E131" s="142" t="n"/>
      <c r="F131" s="142" t="n"/>
      <c r="G131" s="181" t="n"/>
      <c r="H131" s="140" t="n"/>
      <c r="I131" s="182" t="n"/>
      <c r="J131" s="138" t="n"/>
    </row>
    <row r="132" ht="27.75" customHeight="1" s="108">
      <c r="A132" s="140" t="n"/>
      <c r="B132" s="140" t="n"/>
      <c r="C132" s="140" t="n"/>
      <c r="D132" s="141" t="n"/>
      <c r="E132" s="142" t="n"/>
      <c r="F132" s="142" t="n"/>
      <c r="G132" s="181" t="n"/>
      <c r="H132" s="140" t="n"/>
      <c r="I132" s="182" t="n"/>
      <c r="J132" s="138" t="n"/>
    </row>
    <row r="133" ht="27.75" customHeight="1" s="108">
      <c r="A133" s="140" t="n"/>
      <c r="B133" s="140" t="n"/>
      <c r="C133" s="140" t="n"/>
      <c r="D133" s="141" t="n"/>
      <c r="E133" s="142" t="n"/>
      <c r="F133" s="142" t="n"/>
      <c r="G133" s="181" t="n"/>
      <c r="H133" s="140" t="n"/>
      <c r="I133" s="182" t="n"/>
      <c r="J133" s="138" t="n"/>
    </row>
    <row r="134" ht="27.75" customHeight="1" s="108">
      <c r="A134" s="140" t="n"/>
      <c r="B134" s="140" t="n"/>
      <c r="C134" s="140" t="n"/>
      <c r="D134" s="141" t="n"/>
      <c r="E134" s="142" t="n"/>
      <c r="F134" s="142" t="n"/>
      <c r="G134" s="181" t="n"/>
      <c r="H134" s="140" t="n"/>
      <c r="I134" s="182" t="n"/>
      <c r="J134" s="138" t="n"/>
    </row>
    <row r="135" ht="27.75" customHeight="1" s="108">
      <c r="A135" s="140" t="n"/>
      <c r="B135" s="140" t="n"/>
      <c r="C135" s="140" t="n"/>
      <c r="D135" s="141" t="n"/>
      <c r="E135" s="142" t="n"/>
      <c r="F135" s="142" t="n"/>
      <c r="G135" s="181" t="n"/>
      <c r="H135" s="140" t="n"/>
      <c r="I135" s="182" t="n"/>
      <c r="J135" s="138" t="n"/>
    </row>
    <row r="136" ht="27.75" customHeight="1" s="108">
      <c r="A136" s="140" t="n"/>
      <c r="B136" s="140" t="n"/>
      <c r="C136" s="140" t="n"/>
      <c r="D136" s="141" t="n"/>
      <c r="E136" s="142" t="n"/>
      <c r="F136" s="142" t="n"/>
      <c r="G136" s="181" t="n"/>
      <c r="H136" s="140" t="n"/>
      <c r="I136" s="182" t="n"/>
      <c r="J136" s="138" t="n"/>
    </row>
    <row r="137" ht="27.75" customHeight="1" s="108">
      <c r="A137" s="140" t="n"/>
      <c r="B137" s="140" t="n"/>
      <c r="C137" s="140" t="n"/>
      <c r="D137" s="141" t="n"/>
      <c r="E137" s="142" t="n"/>
      <c r="F137" s="142" t="n"/>
      <c r="G137" s="181" t="n"/>
      <c r="H137" s="140" t="n"/>
      <c r="I137" s="182" t="n"/>
      <c r="J137" s="138" t="n"/>
    </row>
    <row r="138" ht="27.75" customHeight="1" s="108">
      <c r="A138" s="140" t="n"/>
      <c r="B138" s="140" t="n"/>
      <c r="C138" s="140" t="n"/>
      <c r="D138" s="141" t="n"/>
      <c r="E138" s="142" t="n"/>
      <c r="F138" s="142" t="n"/>
      <c r="G138" s="181" t="n"/>
      <c r="H138" s="140" t="n"/>
      <c r="I138" s="182" t="n"/>
      <c r="J138" s="138" t="n"/>
    </row>
    <row r="139" ht="27.75" customHeight="1" s="108">
      <c r="A139" s="140" t="n"/>
      <c r="B139" s="140" t="n"/>
      <c r="C139" s="140" t="n"/>
      <c r="D139" s="141" t="n"/>
      <c r="E139" s="142" t="n"/>
      <c r="F139" s="142" t="n"/>
      <c r="G139" s="181" t="n"/>
      <c r="H139" s="140" t="n"/>
      <c r="I139" s="182" t="n"/>
      <c r="J139" s="138" t="n"/>
    </row>
    <row r="140" ht="27.75" customHeight="1" s="108">
      <c r="A140" s="140" t="n"/>
      <c r="B140" s="140" t="n"/>
      <c r="C140" s="140" t="n"/>
      <c r="D140" s="141" t="n"/>
      <c r="E140" s="142" t="n"/>
      <c r="F140" s="142" t="n"/>
      <c r="G140" s="181" t="n"/>
      <c r="H140" s="140" t="n"/>
      <c r="I140" s="182" t="n"/>
      <c r="J140" s="138" t="n"/>
    </row>
    <row r="141" ht="27.75" customHeight="1" s="108">
      <c r="A141" s="140" t="n"/>
      <c r="B141" s="140" t="n"/>
      <c r="C141" s="140" t="n"/>
      <c r="D141" s="141" t="n"/>
      <c r="E141" s="142" t="n"/>
      <c r="F141" s="142" t="n"/>
      <c r="G141" s="181" t="n"/>
      <c r="H141" s="140" t="n"/>
      <c r="I141" s="182" t="n"/>
      <c r="J141" s="138" t="n"/>
    </row>
    <row r="142" ht="27.75" customHeight="1" s="108">
      <c r="A142" s="140" t="n"/>
      <c r="B142" s="140" t="n"/>
      <c r="C142" s="140" t="n"/>
      <c r="D142" s="141" t="n"/>
      <c r="E142" s="142" t="n"/>
      <c r="F142" s="142" t="n"/>
      <c r="G142" s="181" t="n"/>
      <c r="H142" s="140" t="n"/>
      <c r="I142" s="182" t="n"/>
      <c r="J142" s="138" t="n"/>
    </row>
    <row r="143" ht="27.75" customHeight="1" s="108">
      <c r="A143" s="140" t="n"/>
      <c r="B143" s="140" t="n"/>
      <c r="C143" s="140" t="n"/>
      <c r="D143" s="141" t="n"/>
      <c r="E143" s="142" t="n"/>
      <c r="F143" s="142" t="n"/>
      <c r="G143" s="181" t="n"/>
      <c r="H143" s="140" t="n"/>
      <c r="I143" s="182" t="n"/>
      <c r="J143" s="138" t="n"/>
    </row>
    <row r="144" ht="27.75" customHeight="1" s="108">
      <c r="A144" s="140" t="n"/>
      <c r="B144" s="140" t="n"/>
      <c r="C144" s="140" t="n"/>
      <c r="D144" s="141" t="n"/>
      <c r="E144" s="142" t="n"/>
      <c r="F144" s="142" t="n"/>
      <c r="G144" s="181" t="n"/>
      <c r="H144" s="140" t="n"/>
      <c r="I144" s="182" t="n"/>
      <c r="J144" s="138" t="n"/>
    </row>
    <row r="145" ht="27.75" customHeight="1" s="108">
      <c r="A145" s="140" t="n"/>
      <c r="B145" s="140" t="n"/>
      <c r="C145" s="140" t="n"/>
      <c r="D145" s="141" t="n"/>
      <c r="E145" s="142" t="n"/>
      <c r="F145" s="142" t="n"/>
      <c r="G145" s="181" t="n"/>
      <c r="H145" s="140" t="n"/>
      <c r="I145" s="182" t="n"/>
      <c r="J145" s="138" t="n"/>
    </row>
    <row r="146" ht="27.75" customHeight="1" s="108">
      <c r="A146" s="140" t="n"/>
      <c r="B146" s="140" t="n"/>
      <c r="C146" s="140" t="n"/>
      <c r="D146" s="141" t="n"/>
      <c r="E146" s="142" t="n"/>
      <c r="F146" s="142" t="n"/>
      <c r="G146" s="181" t="n"/>
      <c r="H146" s="140" t="n"/>
      <c r="I146" s="182" t="n"/>
      <c r="J146" s="138" t="n"/>
    </row>
    <row r="147" ht="27.75" customHeight="1" s="108">
      <c r="A147" s="140" t="n"/>
      <c r="B147" s="140" t="n"/>
      <c r="C147" s="140" t="n"/>
      <c r="D147" s="141" t="n"/>
      <c r="E147" s="142" t="n"/>
      <c r="F147" s="142" t="n"/>
      <c r="G147" s="181" t="n"/>
      <c r="H147" s="140" t="n"/>
      <c r="I147" s="182" t="n"/>
      <c r="J147" s="138" t="n"/>
    </row>
    <row r="148" ht="27.75" customHeight="1" s="108">
      <c r="A148" s="140" t="n"/>
      <c r="B148" s="140" t="n"/>
      <c r="C148" s="140" t="n"/>
      <c r="D148" s="141" t="n"/>
      <c r="E148" s="142" t="n"/>
      <c r="F148" s="142" t="n"/>
      <c r="G148" s="181" t="n"/>
      <c r="H148" s="140" t="n"/>
      <c r="I148" s="182" t="n"/>
      <c r="J148" s="138" t="n"/>
    </row>
    <row r="149" ht="27.75" customHeight="1" s="108">
      <c r="A149" s="140" t="n"/>
      <c r="B149" s="140" t="n"/>
      <c r="C149" s="140" t="n"/>
      <c r="D149" s="141" t="n"/>
      <c r="E149" s="142" t="n"/>
      <c r="F149" s="142" t="n"/>
      <c r="G149" s="181" t="n"/>
      <c r="H149" s="140" t="n"/>
      <c r="I149" s="182" t="n"/>
      <c r="J149" s="138" t="n"/>
    </row>
    <row r="150" ht="27.75" customHeight="1" s="108">
      <c r="A150" s="140" t="n"/>
      <c r="B150" s="140" t="n"/>
      <c r="C150" s="140" t="n"/>
      <c r="D150" s="141" t="n"/>
      <c r="E150" s="142" t="n"/>
      <c r="F150" s="142" t="n"/>
      <c r="G150" s="181" t="n"/>
      <c r="H150" s="140" t="n"/>
      <c r="I150" s="182" t="n"/>
      <c r="J150" s="138" t="n"/>
    </row>
    <row r="151" ht="27.75" customHeight="1" s="108">
      <c r="A151" s="140" t="n"/>
      <c r="B151" s="140" t="n"/>
      <c r="C151" s="140" t="n"/>
      <c r="D151" s="141" t="n"/>
      <c r="E151" s="142" t="n"/>
      <c r="F151" s="142" t="n"/>
      <c r="G151" s="181" t="n"/>
      <c r="H151" s="140" t="n"/>
      <c r="I151" s="182" t="n"/>
      <c r="J151" s="138" t="n"/>
    </row>
    <row r="152" ht="27.75" customHeight="1" s="108">
      <c r="A152" s="140" t="n"/>
      <c r="B152" s="140" t="n"/>
      <c r="C152" s="140" t="n"/>
      <c r="D152" s="141" t="n"/>
      <c r="E152" s="142" t="n"/>
      <c r="F152" s="142" t="n"/>
      <c r="G152" s="181" t="n"/>
      <c r="H152" s="140" t="n"/>
      <c r="I152" s="182" t="n"/>
      <c r="J152" s="138" t="n"/>
    </row>
    <row r="153" ht="27.75" customHeight="1" s="108">
      <c r="A153" s="140" t="n"/>
      <c r="B153" s="140" t="n"/>
      <c r="C153" s="140" t="n"/>
      <c r="D153" s="141" t="n"/>
      <c r="E153" s="142" t="n"/>
      <c r="F153" s="142" t="n"/>
      <c r="G153" s="181" t="n"/>
      <c r="H153" s="140" t="n"/>
      <c r="I153" s="182" t="n"/>
      <c r="J153" s="138" t="n"/>
    </row>
    <row r="154" ht="27.75" customHeight="1" s="108">
      <c r="A154" s="140" t="n"/>
      <c r="B154" s="140" t="n"/>
      <c r="C154" s="140" t="n"/>
      <c r="D154" s="141" t="n"/>
      <c r="E154" s="142" t="n"/>
      <c r="F154" s="142" t="n"/>
      <c r="G154" s="181" t="n"/>
      <c r="H154" s="140" t="n"/>
      <c r="I154" s="182" t="n"/>
      <c r="J154" s="138" t="n"/>
    </row>
    <row r="155" ht="27.75" customHeight="1" s="108">
      <c r="A155" s="140" t="n"/>
      <c r="B155" s="140" t="n"/>
      <c r="C155" s="140" t="n"/>
      <c r="D155" s="141" t="n"/>
      <c r="E155" s="142" t="n"/>
      <c r="F155" s="142" t="n"/>
      <c r="G155" s="181" t="n"/>
      <c r="H155" s="140" t="n"/>
      <c r="I155" s="182" t="n"/>
      <c r="J155" s="138" t="n"/>
    </row>
    <row r="156" ht="27.75" customHeight="1" s="108">
      <c r="A156" s="140" t="n"/>
      <c r="B156" s="140" t="n"/>
      <c r="C156" s="140" t="n"/>
      <c r="D156" s="141" t="n"/>
      <c r="E156" s="142" t="n"/>
      <c r="F156" s="142" t="n"/>
      <c r="G156" s="181" t="n"/>
      <c r="H156" s="140" t="n"/>
      <c r="I156" s="182" t="n"/>
      <c r="J156" s="138" t="n"/>
    </row>
    <row r="157" ht="27.75" customHeight="1" s="108">
      <c r="A157" s="140" t="n"/>
      <c r="B157" s="140" t="n"/>
      <c r="C157" s="140" t="n"/>
      <c r="D157" s="141" t="n"/>
      <c r="E157" s="142" t="n"/>
      <c r="F157" s="142" t="n"/>
      <c r="G157" s="181" t="n"/>
      <c r="H157" s="140" t="n"/>
      <c r="I157" s="182" t="n"/>
      <c r="J157" s="138" t="n"/>
    </row>
    <row r="158" ht="27.75" customHeight="1" s="108">
      <c r="A158" s="140" t="n"/>
      <c r="B158" s="140" t="n"/>
      <c r="C158" s="140" t="n"/>
      <c r="D158" s="141" t="n"/>
      <c r="E158" s="142" t="n"/>
      <c r="F158" s="142" t="n"/>
      <c r="G158" s="181" t="n"/>
      <c r="H158" s="140" t="n"/>
      <c r="I158" s="182" t="n"/>
      <c r="J158" s="138" t="n"/>
    </row>
    <row r="159" ht="27.75" customHeight="1" s="108">
      <c r="A159" s="140" t="n"/>
      <c r="B159" s="140" t="n"/>
      <c r="C159" s="140" t="n"/>
      <c r="D159" s="141" t="n"/>
      <c r="E159" s="142" t="n"/>
      <c r="F159" s="142" t="n"/>
      <c r="G159" s="181" t="n"/>
      <c r="H159" s="140" t="n"/>
      <c r="I159" s="182" t="n"/>
      <c r="J159" s="138" t="n"/>
    </row>
    <row r="160" ht="27.75" customHeight="1" s="108">
      <c r="A160" s="140" t="n"/>
      <c r="B160" s="140" t="n"/>
      <c r="C160" s="140" t="n"/>
      <c r="D160" s="141" t="n"/>
      <c r="E160" s="142" t="n"/>
      <c r="F160" s="142" t="n"/>
      <c r="G160" s="181" t="n"/>
      <c r="H160" s="140" t="n"/>
      <c r="I160" s="182" t="n"/>
      <c r="J160" s="138" t="n"/>
    </row>
    <row r="161" ht="27.75" customHeight="1" s="108">
      <c r="A161" s="140" t="n"/>
      <c r="B161" s="140" t="n"/>
      <c r="C161" s="140" t="n"/>
      <c r="D161" s="141" t="n"/>
      <c r="E161" s="142" t="n"/>
      <c r="F161" s="142" t="n"/>
      <c r="G161" s="181" t="n"/>
      <c r="H161" s="140" t="n"/>
      <c r="I161" s="182" t="n"/>
      <c r="J161" s="138" t="n"/>
    </row>
    <row r="162" ht="27.75" customHeight="1" s="108">
      <c r="A162" s="140" t="n"/>
      <c r="B162" s="140" t="n"/>
      <c r="C162" s="140" t="n"/>
      <c r="D162" s="141" t="n"/>
      <c r="E162" s="142" t="n"/>
      <c r="F162" s="142" t="n"/>
      <c r="G162" s="181" t="n"/>
      <c r="H162" s="140" t="n"/>
      <c r="I162" s="182" t="n"/>
      <c r="J162" s="138" t="n"/>
    </row>
    <row r="163" ht="27.75" customHeight="1" s="108">
      <c r="A163" s="140" t="n"/>
      <c r="B163" s="140" t="n"/>
      <c r="C163" s="140" t="n"/>
      <c r="D163" s="141" t="n"/>
      <c r="E163" s="142" t="n"/>
      <c r="F163" s="142" t="n"/>
      <c r="G163" s="181" t="n"/>
      <c r="H163" s="140" t="n"/>
      <c r="I163" s="182" t="n"/>
      <c r="J163" s="138" t="n"/>
    </row>
    <row r="164" ht="27.75" customHeight="1" s="108">
      <c r="A164" s="140" t="n"/>
      <c r="B164" s="140" t="n"/>
      <c r="C164" s="140" t="n"/>
      <c r="D164" s="141" t="n"/>
      <c r="E164" s="142" t="n"/>
      <c r="F164" s="142" t="n"/>
      <c r="G164" s="181" t="n"/>
      <c r="H164" s="140" t="n"/>
      <c r="I164" s="182" t="n"/>
      <c r="J164" s="138" t="n"/>
    </row>
    <row r="165" ht="27.75" customHeight="1" s="108">
      <c r="A165" s="140" t="n"/>
      <c r="B165" s="140" t="n"/>
      <c r="C165" s="140" t="n"/>
      <c r="D165" s="141" t="n"/>
      <c r="E165" s="142" t="n"/>
      <c r="F165" s="142" t="n"/>
      <c r="G165" s="181" t="n"/>
      <c r="H165" s="140" t="n"/>
      <c r="I165" s="182" t="n"/>
      <c r="J165" s="138" t="n"/>
    </row>
    <row r="166" ht="27.75" customHeight="1" s="108">
      <c r="A166" s="140" t="n"/>
      <c r="B166" s="140" t="n"/>
      <c r="C166" s="140" t="n"/>
      <c r="D166" s="141" t="n"/>
      <c r="E166" s="142" t="n"/>
      <c r="F166" s="142" t="n"/>
      <c r="G166" s="181" t="n"/>
      <c r="H166" s="140" t="n"/>
      <c r="I166" s="182" t="n"/>
      <c r="J166" s="138" t="n"/>
    </row>
    <row r="167" ht="27.75" customHeight="1" s="108">
      <c r="A167" s="140" t="n"/>
      <c r="B167" s="140" t="n"/>
      <c r="C167" s="140" t="n"/>
      <c r="D167" s="141" t="n"/>
      <c r="E167" s="142" t="n"/>
      <c r="F167" s="142" t="n"/>
      <c r="G167" s="181" t="n"/>
      <c r="H167" s="140" t="n"/>
      <c r="I167" s="182" t="n"/>
      <c r="J167" s="138" t="n"/>
    </row>
    <row r="168" ht="27.75" customHeight="1" s="108">
      <c r="A168" s="140" t="n"/>
      <c r="B168" s="140" t="n"/>
      <c r="C168" s="140" t="n"/>
      <c r="D168" s="141" t="n"/>
      <c r="E168" s="142" t="n"/>
      <c r="F168" s="142" t="n"/>
      <c r="G168" s="181" t="n"/>
      <c r="H168" s="140" t="n"/>
      <c r="I168" s="182" t="n"/>
      <c r="J168" s="138" t="n"/>
    </row>
    <row r="169" ht="27.75" customHeight="1" s="108">
      <c r="A169" s="140" t="n"/>
      <c r="B169" s="140" t="n"/>
      <c r="C169" s="140" t="n"/>
      <c r="D169" s="141" t="n"/>
      <c r="E169" s="142" t="n"/>
      <c r="F169" s="142" t="n"/>
      <c r="G169" s="181" t="n"/>
      <c r="H169" s="140" t="n"/>
      <c r="I169" s="182" t="n"/>
      <c r="J169" s="138" t="n"/>
    </row>
    <row r="170" ht="27.75" customHeight="1" s="108">
      <c r="A170" s="140" t="n"/>
      <c r="B170" s="140" t="n"/>
      <c r="C170" s="140" t="n"/>
      <c r="D170" s="141" t="n"/>
      <c r="E170" s="142" t="n"/>
      <c r="F170" s="142" t="n"/>
      <c r="G170" s="181" t="n"/>
      <c r="H170" s="140" t="n"/>
      <c r="I170" s="182" t="n"/>
      <c r="J170" s="138" t="n"/>
    </row>
    <row r="171" ht="27.75" customHeight="1" s="108">
      <c r="A171" s="140" t="n"/>
      <c r="B171" s="140" t="n"/>
      <c r="C171" s="140" t="n"/>
      <c r="D171" s="141" t="n"/>
      <c r="E171" s="142" t="n"/>
      <c r="F171" s="142" t="n"/>
      <c r="G171" s="181" t="n"/>
      <c r="H171" s="140" t="n"/>
      <c r="I171" s="182" t="n"/>
      <c r="J171" s="138" t="n"/>
    </row>
    <row r="172" ht="27.75" customHeight="1" s="108">
      <c r="A172" s="140" t="n"/>
      <c r="B172" s="140" t="n"/>
      <c r="C172" s="140" t="n"/>
      <c r="D172" s="141" t="n"/>
      <c r="E172" s="142" t="n"/>
      <c r="F172" s="142" t="n"/>
      <c r="G172" s="181" t="n"/>
      <c r="H172" s="140" t="n"/>
      <c r="I172" s="182" t="n"/>
      <c r="J172" s="138" t="n"/>
    </row>
    <row r="173" ht="27.75" customHeight="1" s="108">
      <c r="A173" s="140" t="n"/>
      <c r="B173" s="140" t="n"/>
      <c r="C173" s="140" t="n"/>
      <c r="D173" s="141" t="n"/>
      <c r="E173" s="142" t="n"/>
      <c r="F173" s="142" t="n"/>
      <c r="G173" s="181" t="n"/>
      <c r="H173" s="140" t="n"/>
      <c r="I173" s="182" t="n"/>
      <c r="J173" s="138" t="n"/>
    </row>
    <row r="174" ht="27.75" customHeight="1" s="108">
      <c r="A174" s="140" t="n"/>
      <c r="B174" s="140" t="n"/>
      <c r="C174" s="140" t="n"/>
      <c r="D174" s="141" t="n"/>
      <c r="E174" s="142" t="n"/>
      <c r="F174" s="142" t="n"/>
      <c r="G174" s="181" t="n"/>
      <c r="H174" s="140" t="n"/>
      <c r="I174" s="182" t="n"/>
      <c r="J174" s="138" t="n"/>
    </row>
    <row r="175" ht="27.75" customHeight="1" s="108">
      <c r="A175" s="140" t="n"/>
      <c r="B175" s="140" t="n"/>
      <c r="C175" s="140" t="n"/>
      <c r="D175" s="141" t="n"/>
      <c r="E175" s="142" t="n"/>
      <c r="F175" s="142" t="n"/>
      <c r="G175" s="181" t="n"/>
      <c r="H175" s="140" t="n"/>
      <c r="I175" s="182" t="n"/>
      <c r="J175" s="138" t="n"/>
    </row>
    <row r="176" ht="27.75" customHeight="1" s="108">
      <c r="A176" s="140" t="n"/>
      <c r="B176" s="140" t="n"/>
      <c r="C176" s="140" t="n"/>
      <c r="D176" s="141" t="n"/>
      <c r="E176" s="142" t="n"/>
      <c r="F176" s="142" t="n"/>
      <c r="G176" s="181" t="n"/>
      <c r="H176" s="140" t="n"/>
      <c r="I176" s="182" t="n"/>
      <c r="J176" s="138" t="n"/>
    </row>
    <row r="177" ht="27.75" customHeight="1" s="108">
      <c r="A177" s="140" t="n"/>
      <c r="B177" s="140" t="n"/>
      <c r="C177" s="140" t="n"/>
      <c r="D177" s="141" t="n"/>
      <c r="E177" s="142" t="n"/>
      <c r="F177" s="142" t="n"/>
      <c r="G177" s="181" t="n"/>
      <c r="H177" s="140" t="n"/>
      <c r="I177" s="182" t="n"/>
      <c r="J177" s="138" t="n"/>
    </row>
    <row r="178" ht="27.75" customHeight="1" s="108">
      <c r="A178" s="140" t="n"/>
      <c r="B178" s="140" t="n"/>
      <c r="C178" s="140" t="n"/>
      <c r="D178" s="141" t="n"/>
      <c r="E178" s="142" t="n"/>
      <c r="F178" s="142" t="n"/>
      <c r="G178" s="181" t="n"/>
      <c r="H178" s="140" t="n"/>
      <c r="I178" s="182" t="n"/>
      <c r="J178" s="138" t="n"/>
    </row>
    <row r="179" ht="27.75" customHeight="1" s="108">
      <c r="A179" s="140" t="n"/>
      <c r="B179" s="140" t="n"/>
      <c r="C179" s="140" t="n"/>
      <c r="D179" s="141" t="n"/>
      <c r="E179" s="142" t="n"/>
      <c r="F179" s="142" t="n"/>
      <c r="G179" s="181" t="n"/>
      <c r="H179" s="140" t="n"/>
      <c r="I179" s="182" t="n"/>
      <c r="J179" s="138" t="n"/>
    </row>
    <row r="180" ht="27.75" customHeight="1" s="108">
      <c r="A180" s="140" t="n"/>
      <c r="B180" s="140" t="n"/>
      <c r="C180" s="140" t="n"/>
      <c r="D180" s="141" t="n"/>
      <c r="E180" s="142" t="n"/>
      <c r="F180" s="142" t="n"/>
      <c r="G180" s="181" t="n"/>
      <c r="H180" s="140" t="n"/>
      <c r="I180" s="182" t="n"/>
      <c r="J180" s="138" t="n"/>
    </row>
    <row r="181" ht="27.75" customHeight="1" s="108">
      <c r="A181" s="140" t="n"/>
      <c r="B181" s="140" t="n"/>
      <c r="C181" s="140" t="n"/>
      <c r="D181" s="141" t="n"/>
      <c r="E181" s="142" t="n"/>
      <c r="F181" s="142" t="n"/>
      <c r="G181" s="181" t="n"/>
      <c r="H181" s="140" t="n"/>
      <c r="I181" s="182" t="n"/>
      <c r="J181" s="138" t="n"/>
    </row>
    <row r="182" ht="27.75" customHeight="1" s="108">
      <c r="A182" s="140" t="n"/>
      <c r="B182" s="140" t="n"/>
      <c r="C182" s="140" t="n"/>
      <c r="D182" s="141" t="n"/>
      <c r="E182" s="142" t="n"/>
      <c r="F182" s="142" t="n"/>
      <c r="G182" s="181" t="n"/>
      <c r="H182" s="140" t="n"/>
      <c r="I182" s="182" t="n"/>
      <c r="J182" s="138" t="n"/>
    </row>
    <row r="183" ht="27.75" customHeight="1" s="108">
      <c r="A183" s="140" t="n"/>
      <c r="B183" s="140" t="n"/>
      <c r="C183" s="140" t="n"/>
      <c r="D183" s="141" t="n"/>
      <c r="E183" s="142" t="n"/>
      <c r="F183" s="142" t="n"/>
      <c r="G183" s="181" t="n"/>
      <c r="H183" s="140" t="n"/>
      <c r="I183" s="182" t="n"/>
      <c r="J183" s="138" t="n"/>
    </row>
    <row r="184" ht="27.75" customHeight="1" s="108">
      <c r="A184" s="140" t="n"/>
      <c r="B184" s="140" t="n"/>
      <c r="C184" s="140" t="n"/>
      <c r="D184" s="141" t="n"/>
      <c r="E184" s="142" t="n"/>
      <c r="F184" s="142" t="n"/>
      <c r="G184" s="181" t="n"/>
      <c r="H184" s="140" t="n"/>
      <c r="I184" s="182" t="n"/>
      <c r="J184" s="138" t="n"/>
    </row>
    <row r="185" ht="27.75" customHeight="1" s="108">
      <c r="A185" s="140" t="n"/>
      <c r="B185" s="140" t="n"/>
      <c r="C185" s="140" t="n"/>
      <c r="D185" s="141" t="n"/>
      <c r="E185" s="142" t="n"/>
      <c r="F185" s="142" t="n"/>
      <c r="G185" s="181" t="n"/>
      <c r="H185" s="140" t="n"/>
      <c r="I185" s="182" t="n"/>
      <c r="J185" s="138" t="n"/>
    </row>
    <row r="186" ht="27.75" customHeight="1" s="108">
      <c r="A186" s="140" t="n"/>
      <c r="B186" s="140" t="n"/>
      <c r="C186" s="140" t="n"/>
      <c r="D186" s="141" t="n"/>
      <c r="E186" s="142" t="n"/>
      <c r="F186" s="142" t="n"/>
      <c r="G186" s="181" t="n"/>
      <c r="H186" s="140" t="n"/>
      <c r="I186" s="182" t="n"/>
      <c r="J186" s="138" t="n"/>
    </row>
    <row r="187" ht="27.75" customHeight="1" s="108">
      <c r="A187" s="140" t="n"/>
      <c r="B187" s="140" t="n"/>
      <c r="C187" s="140" t="n"/>
      <c r="D187" s="141" t="n"/>
      <c r="E187" s="142" t="n"/>
      <c r="F187" s="142" t="n"/>
      <c r="G187" s="181" t="n"/>
      <c r="H187" s="140" t="n"/>
      <c r="I187" s="182" t="n"/>
      <c r="J187" s="138" t="n"/>
    </row>
    <row r="188" ht="27.75" customHeight="1" s="108">
      <c r="A188" s="140" t="n"/>
      <c r="B188" s="140" t="n"/>
      <c r="C188" s="140" t="n"/>
      <c r="D188" s="141" t="n"/>
      <c r="E188" s="142" t="n"/>
      <c r="F188" s="142" t="n"/>
      <c r="G188" s="181" t="n"/>
      <c r="H188" s="140" t="n"/>
      <c r="I188" s="182" t="n"/>
      <c r="J188" s="138" t="n"/>
    </row>
    <row r="189" ht="27.75" customHeight="1" s="108">
      <c r="A189" s="140" t="n"/>
      <c r="B189" s="140" t="n"/>
      <c r="C189" s="140" t="n"/>
      <c r="D189" s="141" t="n"/>
      <c r="E189" s="142" t="n"/>
      <c r="F189" s="142" t="n"/>
      <c r="G189" s="181" t="n"/>
      <c r="H189" s="140" t="n"/>
      <c r="I189" s="182" t="n"/>
      <c r="J189" s="138" t="n"/>
    </row>
    <row r="190" ht="27.75" customHeight="1" s="108">
      <c r="A190" s="140" t="n"/>
      <c r="B190" s="140" t="n"/>
      <c r="C190" s="140" t="n"/>
      <c r="D190" s="141" t="n"/>
      <c r="E190" s="142" t="n"/>
      <c r="F190" s="142" t="n"/>
      <c r="G190" s="181" t="n"/>
      <c r="H190" s="140" t="n"/>
      <c r="I190" s="182" t="n"/>
      <c r="J190" s="138" t="n"/>
    </row>
    <row r="191" ht="27.75" customHeight="1" s="108">
      <c r="A191" s="140" t="n"/>
      <c r="B191" s="140" t="n"/>
      <c r="C191" s="140" t="n"/>
      <c r="D191" s="141" t="n"/>
      <c r="E191" s="142" t="n"/>
      <c r="F191" s="142" t="n"/>
      <c r="G191" s="181" t="n"/>
      <c r="H191" s="140" t="n"/>
      <c r="I191" s="182" t="n"/>
      <c r="J191" s="138" t="n"/>
    </row>
    <row r="192" ht="27.75" customHeight="1" s="108">
      <c r="A192" s="140" t="n"/>
      <c r="B192" s="140" t="n"/>
      <c r="C192" s="140" t="n"/>
      <c r="D192" s="141" t="n"/>
      <c r="E192" s="142" t="n"/>
      <c r="F192" s="142" t="n"/>
      <c r="G192" s="181" t="n"/>
      <c r="H192" s="140" t="n"/>
      <c r="I192" s="182" t="n"/>
      <c r="J192" s="138" t="n"/>
    </row>
    <row r="193" ht="27.75" customHeight="1" s="108">
      <c r="A193" s="140" t="n"/>
      <c r="B193" s="140" t="n"/>
      <c r="C193" s="140" t="n"/>
      <c r="D193" s="141" t="n"/>
      <c r="E193" s="142" t="n"/>
      <c r="F193" s="142" t="n"/>
      <c r="G193" s="181" t="n"/>
      <c r="H193" s="140" t="n"/>
      <c r="I193" s="182" t="n"/>
      <c r="J193" s="138" t="n"/>
    </row>
    <row r="194" ht="27.75" customHeight="1" s="108">
      <c r="A194" s="140" t="n"/>
      <c r="B194" s="140" t="n"/>
      <c r="C194" s="140" t="n"/>
      <c r="D194" s="141" t="n"/>
      <c r="E194" s="142" t="n"/>
      <c r="F194" s="142" t="n"/>
      <c r="G194" s="181" t="n"/>
      <c r="H194" s="140" t="n"/>
      <c r="I194" s="182" t="n"/>
      <c r="J194" s="138" t="n"/>
    </row>
    <row r="195" ht="27.75" customHeight="1" s="108">
      <c r="A195" s="140" t="n"/>
      <c r="B195" s="140" t="n"/>
      <c r="C195" s="140" t="n"/>
      <c r="D195" s="141" t="n"/>
      <c r="E195" s="142" t="n"/>
      <c r="F195" s="142" t="n"/>
      <c r="G195" s="181" t="n"/>
      <c r="H195" s="140" t="n"/>
      <c r="I195" s="182" t="n"/>
      <c r="J195" s="138" t="n"/>
    </row>
    <row r="196" ht="27.75" customHeight="1" s="108">
      <c r="A196" s="162" t="n"/>
      <c r="B196" s="162" t="n"/>
      <c r="C196" s="162" t="n"/>
      <c r="D196" s="163" t="n"/>
      <c r="E196" s="164" t="n"/>
      <c r="F196" s="164" t="n"/>
      <c r="G196" s="183" t="n"/>
      <c r="H196" s="162" t="n"/>
      <c r="I196" s="184" t="n"/>
      <c r="J196" s="169" t="n"/>
    </row>
    <row r="197" ht="27.75" customHeight="1" s="108">
      <c r="A197" s="162" t="n"/>
      <c r="B197" s="162" t="n"/>
      <c r="C197" s="162" t="n"/>
      <c r="D197" s="163" t="n"/>
      <c r="E197" s="164" t="n"/>
      <c r="F197" s="164" t="n"/>
      <c r="G197" s="183" t="n"/>
      <c r="H197" s="162" t="n"/>
      <c r="I197" s="184" t="n"/>
      <c r="J197" s="169" t="n"/>
    </row>
    <row r="198" ht="27.75" customHeight="1" s="108">
      <c r="A198" s="162" t="n"/>
      <c r="B198" s="162" t="n"/>
      <c r="C198" s="162" t="n"/>
      <c r="D198" s="163" t="n"/>
      <c r="E198" s="164" t="n"/>
      <c r="F198" s="164" t="n"/>
      <c r="G198" s="183" t="n"/>
      <c r="H198" s="162" t="n"/>
      <c r="I198" s="184" t="n"/>
      <c r="J198" s="169" t="n"/>
    </row>
    <row r="199" ht="27.75" customHeight="1" s="108">
      <c r="A199" s="162" t="n"/>
      <c r="B199" s="162" t="n"/>
      <c r="C199" s="162" t="n"/>
      <c r="D199" s="163" t="n"/>
      <c r="E199" s="164" t="n"/>
      <c r="F199" s="164" t="n"/>
      <c r="G199" s="183" t="n"/>
      <c r="H199" s="162" t="n"/>
      <c r="I199" s="184" t="n"/>
      <c r="J199" s="169" t="n"/>
    </row>
    <row r="200" ht="27.75" customHeight="1" s="108"/>
  </sheetData>
  <mergeCells count="2">
    <mergeCell ref="A1:J1"/>
    <mergeCell ref="A2:J2"/>
  </mergeCells>
  <conditionalFormatting sqref="A5:F200">
    <cfRule type="expression" rank="0" priority="2" equalAverage="0" aboveAverage="0" dxfId="0" text="" percent="0" bottom="0">
      <formula>$G5="✅ Paid"</formula>
    </cfRule>
    <cfRule type="expression" rank="0" priority="3" equalAverage="0" aboveAverage="0" dxfId="5" text="" percent="0" bottom="0">
      <formula>$G5="⏳ Pending"</formula>
    </cfRule>
    <cfRule type="expression" rank="0" priority="4" equalAverage="0" aboveAverage="0" dxfId="6" text="" percent="0" bottom="0">
      <formula>$G5="⚠ Check"</formula>
    </cfRule>
    <cfRule type="expression" rank="0" priority="5" equalAverage="0" aboveAverage="0" dxfId="7" text="" percent="0" bottom="0">
      <formula>$G5="❓ Clarify"</formula>
    </cfRule>
  </conditionalFormatting>
  <conditionalFormatting sqref="H5:I200">
    <cfRule type="expression" rank="0" priority="6" equalAverage="0" aboveAverage="0" dxfId="0" text="" percent="0" bottom="0">
      <formula>$G5="✅ Paid"</formula>
    </cfRule>
    <cfRule type="expression" rank="0" priority="7" equalAverage="0" aboveAverage="0" dxfId="5" text="" percent="0" bottom="0">
      <formula>$G5="⏳ Pending"</formula>
    </cfRule>
    <cfRule type="expression" rank="0" priority="8" equalAverage="0" aboveAverage="0" dxfId="6" text="" percent="0" bottom="0">
      <formula>$G5="⚠ Check"</formula>
    </cfRule>
    <cfRule type="expression" rank="0" priority="9" equalAverage="0" aboveAverage="0" dxfId="7" text="" percent="0" bottom="0">
      <formula>$G5="❓ Clarify"</formula>
    </cfRule>
  </conditionalFormatting>
  <conditionalFormatting sqref="G5:G200">
    <cfRule type="expression" rank="0" priority="10" equalAverage="0" aboveAverage="0" dxfId="8" text="" percent="0" bottom="0">
      <formula>$G5="✅ Paid"</formula>
    </cfRule>
    <cfRule type="expression" rank="0" priority="11" equalAverage="0" aboveAverage="0" dxfId="9" text="" percent="0" bottom="0">
      <formula>$G5="⏳ Pending"</formula>
    </cfRule>
    <cfRule type="expression" rank="0" priority="12" equalAverage="0" aboveAverage="0" dxfId="10" text="" percent="0" bottom="0">
      <formula>$G5="⚠ Check"</formula>
    </cfRule>
    <cfRule type="expression" rank="0" priority="13" equalAverage="0" aboveAverage="0" dxfId="11" text="" percent="0" bottom="0">
      <formula>$G5="❓ Clarify"</formula>
    </cfRule>
  </conditionalFormatting>
  <conditionalFormatting sqref="H5:H200">
    <cfRule type="expression" rank="0" priority="14" equalAverage="0" aboveAverage="0" dxfId="12" text="" percent="0" bottom="0">
      <formula>AND($G5="✅ Paid",$H5="")</formula>
    </cfRule>
  </conditionalFormatting>
  <dataValidations count="2">
    <dataValidation sqref="G5:G200" showDropDown="0" showInputMessage="0" showErrorMessage="0" allowBlank="0" type="list" errorStyle="stop" operator="between">
      <formula1>"⏳ Pending,✅ Paid,⚠ Partial/Check,❓ Clarify,❌ Cancelled"</formula1>
      <formula2>0</formula2>
    </dataValidation>
    <dataValidation sqref="D5:D200" showDropDown="0" showInputMessage="0" showErrorMessage="0" allowBlank="0" type="list" errorStyle="stop" operator="between">
      <formula1>"AED,CNY,USD,EUR,SGD,RUB,INR,HKD,SAR,GBP"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50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4" customWidth="1" style="107" min="1" max="1"/>
    <col width="72" customWidth="1" style="107" min="2" max="2"/>
  </cols>
  <sheetData>
    <row r="1" ht="30" customHeight="1" s="108">
      <c r="A1" s="109" t="inlineStr">
        <is>
          <t>📖 INSTRUCTIONS</t>
        </is>
      </c>
    </row>
    <row r="2" ht="15" customHeight="1" s="108">
      <c r="A2" s="110" t="inlineStr">
        <is>
          <t>How to use this model — read once before you start</t>
        </is>
      </c>
    </row>
    <row r="4" ht="18" customHeight="1" s="108">
      <c r="A4" s="185" t="inlineStr">
        <is>
          <t>OVERVIEW</t>
        </is>
      </c>
      <c r="B4" s="113" t="n"/>
    </row>
    <row r="5" ht="33.75" customHeight="1" s="108">
      <c r="A5" s="186" t="inlineStr">
        <is>
          <t>This model tracks all activity with your financial agent: invoice payments, deposits, cash deliveries, and the running USD balance.</t>
        </is>
      </c>
      <c r="B5" s="113" t="n"/>
    </row>
    <row r="6" ht="7.5" customHeight="1" s="108">
      <c r="A6" s="187" t="n"/>
      <c r="B6" s="187" t="n"/>
    </row>
    <row r="7" ht="18" customHeight="1" s="108">
      <c r="A7" s="185" t="inlineStr">
        <is>
          <t>🗂  SHEETS</t>
        </is>
      </c>
      <c r="B7" s="113" t="n"/>
    </row>
    <row r="8" ht="19.5" customHeight="1" s="108">
      <c r="A8" s="188" t="inlineStr">
        <is>
          <t>📊 Dashboard</t>
        </is>
      </c>
      <c r="B8" s="189" t="inlineStr">
        <is>
          <t>Auto summary — current balance, invoice counts, totals. Nothing to fill in.</t>
        </is>
      </c>
    </row>
    <row r="9" ht="19.5" customHeight="1" s="108">
      <c r="A9" s="188" t="inlineStr">
        <is>
          <t>💳 Transactions</t>
        </is>
      </c>
      <c r="B9" s="189" t="inlineStr">
        <is>
          <t>Main data entry sheet. Every money movement goes here.</t>
        </is>
      </c>
    </row>
    <row r="10" ht="19.5" customHeight="1" s="108">
      <c r="A10" s="188" t="inlineStr">
        <is>
          <t>📋 Invoices</t>
        </is>
      </c>
      <c r="B10" s="189" t="inlineStr">
        <is>
          <t>Track every invoice: submitted, pending, paid.</t>
        </is>
      </c>
    </row>
    <row r="11" ht="19.5" customHeight="1" s="108">
      <c r="A11" s="188" t="inlineStr">
        <is>
          <t>⚙ Settings</t>
        </is>
      </c>
      <c r="B11" s="189" t="inlineStr">
        <is>
          <t>FX rates and commission defaults — update here only.</t>
        </is>
      </c>
    </row>
    <row r="12" ht="7.5" customHeight="1" s="108">
      <c r="A12" s="187" t="n"/>
      <c r="B12" s="187" t="n"/>
    </row>
    <row r="13" ht="18" customHeight="1" s="108">
      <c r="A13" s="185" t="inlineStr">
        <is>
          <t>🎨  COLOR CODE</t>
        </is>
      </c>
      <c r="B13" s="113" t="n"/>
    </row>
    <row r="14" ht="19.5" customHeight="1" s="108">
      <c r="A14" s="190" t="inlineStr">
        <is>
          <t>🔵 Blue cells</t>
        </is>
      </c>
      <c r="B14" s="191" t="inlineStr">
        <is>
          <t>Your input — type freely here.</t>
        </is>
      </c>
    </row>
    <row r="15" ht="19.5" customHeight="1" s="108">
      <c r="A15" s="192" t="inlineStr">
        <is>
          <t>🟡 Yellow cells</t>
        </is>
      </c>
      <c r="B15" s="193" t="inlineStr">
        <is>
          <t>Formulas — do NOT type here, they auto-calculate.</t>
        </is>
      </c>
    </row>
    <row r="16" ht="19.5" customHeight="1" s="108">
      <c r="A16" s="194" t="inlineStr">
        <is>
          <t>🟢 Green rows</t>
        </is>
      </c>
      <c r="B16" s="195" t="inlineStr">
        <is>
          <t>Deposits / paid invoices.</t>
        </is>
      </c>
    </row>
    <row r="17" ht="19.5" customHeight="1" s="108">
      <c r="A17" s="196" t="inlineStr">
        <is>
          <t>🟠 Orange rows</t>
        </is>
      </c>
      <c r="B17" s="197" t="inlineStr">
        <is>
          <t>Cash Out (agent delivers cash to you).</t>
        </is>
      </c>
    </row>
    <row r="18" ht="19.5" customHeight="1" s="108">
      <c r="A18" s="198" t="inlineStr">
        <is>
          <t>🔴 Red rows</t>
        </is>
      </c>
      <c r="B18" s="199" t="inlineStr">
        <is>
          <t>Unknown transactions — need clarification.</t>
        </is>
      </c>
    </row>
    <row r="19" ht="7.5" customHeight="1" s="108">
      <c r="A19" s="187" t="n"/>
      <c r="B19" s="187" t="n"/>
    </row>
    <row r="20" ht="18" customHeight="1" s="108">
      <c r="A20" s="185" t="inlineStr">
        <is>
          <t>📥  ADDING A NEW INVOICE</t>
        </is>
      </c>
      <c r="B20" s="113" t="n"/>
    </row>
    <row r="21" ht="19.5" customHeight="1" s="108">
      <c r="A21" s="146" t="inlineStr">
        <is>
          <t>1.</t>
        </is>
      </c>
      <c r="B21" s="200" t="inlineStr">
        <is>
          <t>Go to 📋 Invoices · scroll to the first empty row.</t>
        </is>
      </c>
    </row>
    <row r="22" ht="19.5" customHeight="1" s="108">
      <c r="A22" s="146" t="inlineStr">
        <is>
          <t>2.</t>
        </is>
      </c>
      <c r="B22" s="200" t="inlineStr">
        <is>
          <t>Fill in: Date · Invoice # · Payee · Currency · Amount.</t>
        </is>
      </c>
    </row>
    <row r="23" ht="19.5" customHeight="1" s="108">
      <c r="A23" s="146" t="inlineStr">
        <is>
          <t>3.</t>
        </is>
      </c>
      <c r="B23" s="200" t="inlineStr">
        <is>
          <t>USD Equiv (col F) calculates automatically from Settings rates.</t>
        </is>
      </c>
    </row>
    <row r="24" ht="19.5" customHeight="1" s="108">
      <c r="A24" s="146" t="inlineStr">
        <is>
          <t>4.</t>
        </is>
      </c>
      <c r="B24" s="200" t="inlineStr">
        <is>
          <t>Set Status dropdown → "⏳ Pending".</t>
        </is>
      </c>
    </row>
    <row r="25" ht="19.5" customHeight="1" s="108">
      <c r="A25" s="146" t="inlineStr">
        <is>
          <t>5.</t>
        </is>
      </c>
      <c r="B25" s="200" t="inlineStr">
        <is>
          <t>When paid: MUST fill Date Paid (col H) AND Payment Reference (col I) in the SAME operation as changing Status → "✅ Paid". Never leave Date Paid empty if status is Paid.</t>
        </is>
      </c>
    </row>
    <row r="26" ht="7.5" customHeight="1" s="108">
      <c r="A26" s="187" t="n"/>
      <c r="B26" s="187" t="n"/>
    </row>
    <row r="27" ht="18" customHeight="1" s="108">
      <c r="A27" s="185" t="inlineStr">
        <is>
          <t>💸  ADDING A NEW TRANSACTION</t>
        </is>
      </c>
      <c r="B27" s="113" t="n"/>
    </row>
    <row r="28" ht="19.5" customHeight="1" s="108">
      <c r="A28" s="146" t="inlineStr">
        <is>
          <t>1.</t>
        </is>
      </c>
      <c r="B28" s="200" t="inlineStr">
        <is>
          <t>Go to 💳 Transactions · scroll to the first empty row.</t>
        </is>
      </c>
    </row>
    <row r="29" ht="19.5" customHeight="1" s="108">
      <c r="A29" s="146" t="inlineStr">
        <is>
          <t>2.</t>
        </is>
      </c>
      <c r="B29" s="200" t="inlineStr">
        <is>
          <t>Fill: Date · Type (dropdown) · Description · Payee · CCY · Amount.</t>
        </is>
      </c>
    </row>
    <row r="30" ht="27.75" customHeight="1" s="108">
      <c r="A30" s="146" t="inlineStr">
        <is>
          <t>3.</t>
        </is>
      </c>
      <c r="B30" s="200" t="inlineStr">
        <is>
          <t>FX Rate (col G) auto-fills from Settings. Override if agent used a different rate — just type over it.</t>
        </is>
      </c>
    </row>
    <row r="31" ht="27.75" customHeight="1" s="108">
      <c r="A31" s="146" t="inlineStr">
        <is>
          <t>4.</t>
        </is>
      </c>
      <c r="B31" s="200" t="inlineStr">
        <is>
          <t>Comm % (col I) auto-fills by type. Override if needed (e.g. RUB = 0.4%).</t>
        </is>
      </c>
    </row>
    <row r="32" ht="19.5" customHeight="1" s="108">
      <c r="A32" s="146" t="inlineStr">
        <is>
          <t>5.</t>
        </is>
      </c>
      <c r="B32" s="200" t="inlineStr">
        <is>
          <t>Gross USD, Net USD, and Balance all calculate automatically.</t>
        </is>
      </c>
    </row>
    <row r="33" ht="7.5" customHeight="1" s="108">
      <c r="A33" s="187" t="n"/>
      <c r="B33" s="187" t="n"/>
    </row>
    <row r="34" ht="18" customHeight="1" s="108">
      <c r="A34" s="185" t="inlineStr">
        <is>
          <t>🔄  UPDATING FX RATES</t>
        </is>
      </c>
      <c r="B34" s="113" t="n"/>
    </row>
    <row r="35" ht="19.5" customHeight="1" s="108">
      <c r="A35" s="201" t="inlineStr">
        <is>
          <t>→</t>
        </is>
      </c>
      <c r="B35" s="202" t="inlineStr">
        <is>
          <t>When agent sends a new balance statement: go to ⚙ Settings, update the blue Rate cells.</t>
        </is>
      </c>
    </row>
    <row r="36" ht="19.5" customHeight="1" s="108">
      <c r="A36" s="201" t="inlineStr">
        <is>
          <t>→</t>
        </is>
      </c>
      <c r="B36" s="202" t="inlineStr">
        <is>
          <t>New transaction rows will pick up the new rate automatically.</t>
        </is>
      </c>
    </row>
    <row r="37" ht="27.75" customHeight="1" s="108">
      <c r="A37" s="201" t="inlineStr">
        <is>
          <t>→</t>
        </is>
      </c>
      <c r="B37" s="202" t="inlineStr">
        <is>
          <t>Historical rows keep their original rate (intentional — matches agent's calculation).</t>
        </is>
      </c>
    </row>
    <row r="38" ht="7.5" customHeight="1" s="108">
      <c r="A38" s="187" t="n"/>
      <c r="B38" s="187" t="n"/>
    </row>
    <row r="39" ht="18" customHeight="1" s="108">
      <c r="A39" s="185" t="inlineStr">
        <is>
          <t>⚖  RECONCILING AGENT BALANCE STATEMENTS</t>
        </is>
      </c>
      <c r="B39" s="113" t="n"/>
    </row>
    <row r="40" ht="19.5" customHeight="1" s="108">
      <c r="A40" s="146" t="inlineStr">
        <is>
          <t>1.</t>
        </is>
      </c>
      <c r="B40" s="200" t="inlineStr">
        <is>
          <t>Compare agent's ending balance vs 'Current Agent Balance' on Dashboard.</t>
        </is>
      </c>
    </row>
    <row r="41" ht="19.5" customHeight="1" s="108">
      <c r="A41" s="146" t="inlineStr">
        <is>
          <t>2.</t>
        </is>
      </c>
      <c r="B41" s="200" t="inlineStr">
        <is>
          <t>If different: find transactions in agent's statement not yet in your sheet.</t>
        </is>
      </c>
    </row>
    <row r="42" ht="27.75" customHeight="1" s="108">
      <c r="A42" s="146" t="inlineStr">
        <is>
          <t>3.</t>
        </is>
      </c>
      <c r="B42" s="200" t="inlineStr">
        <is>
          <t>For anything without a clear invoice: Type = "❓ Unknown". Do NOT delete — ask agent first.</t>
        </is>
      </c>
    </row>
    <row r="43" ht="19.5" customHeight="1" s="108">
      <c r="A43" s="146" t="inlineStr">
        <is>
          <t>4.</t>
        </is>
      </c>
      <c r="B43" s="200" t="inlineStr">
        <is>
          <t>Small differences (&lt; $500) are usually rounding — note in Notes column.</t>
        </is>
      </c>
    </row>
    <row r="44" ht="7.5" customHeight="1" s="108">
      <c r="A44" s="187" t="n"/>
      <c r="B44" s="187" t="n"/>
    </row>
    <row r="45" ht="18" customHeight="1" s="108">
      <c r="A45" s="185" t="inlineStr">
        <is>
          <t>⚠  RULES — DO NOT BREAK</t>
        </is>
      </c>
      <c r="B45" s="113" t="n"/>
    </row>
    <row r="46" ht="19.5" customHeight="1" s="108">
      <c r="A46" s="203" t="inlineStr">
        <is>
          <t>RUB commission is 0.4%, not 0.5%</t>
        </is>
      </c>
      <c r="B46" s="199" t="inlineStr">
        <is>
          <t>→ After adding a RUB row, manually set Comm % (col I) to 0.4%</t>
        </is>
      </c>
    </row>
    <row r="47" ht="19.5" customHeight="1" s="108">
      <c r="A47" s="204" t="inlineStr">
        <is>
          <t>Do not insert or delete columns</t>
        </is>
      </c>
      <c r="B47" s="193" t="inlineStr">
        <is>
          <t>→ Formulas rely on column positions. Add/delete ROWS only.</t>
        </is>
      </c>
    </row>
    <row r="48" ht="19.5" customHeight="1" s="108">
      <c r="A48" s="204" t="inlineStr">
        <is>
          <t>Do not rename sheets</t>
        </is>
      </c>
      <c r="B48" s="193" t="inlineStr">
        <is>
          <t>→ Formulas reference sheets by name.</t>
        </is>
      </c>
    </row>
    <row r="49" ht="19.5" customHeight="1" s="108">
      <c r="A49" s="204" t="inlineStr">
        <is>
          <t>Do not type in yellow cells</t>
        </is>
      </c>
      <c r="B49" s="193" t="inlineStr">
        <is>
          <t>→ Yellow = formula. Typing over it will break the calculation.</t>
        </is>
      </c>
    </row>
    <row r="50" ht="15" customHeight="1" s="108">
      <c r="A50" s="107" t="inlineStr">
        <is>
          <t>Date Paid is mandatory when Status = ✅ Paid</t>
        </is>
      </c>
      <c r="B50" s="107" t="inlineStr">
        <is>
          <t>→ If Status is ✅ Paid but Date Paid is empty — cell turns RED. Fix immediately: add the payment date from Transactions.</t>
        </is>
      </c>
    </row>
  </sheetData>
  <mergeCells count="11">
    <mergeCell ref="A4:B4"/>
    <mergeCell ref="A20:B20"/>
    <mergeCell ref="A2:B2"/>
    <mergeCell ref="A7:B7"/>
    <mergeCell ref="A5:B5"/>
    <mergeCell ref="A45:B45"/>
    <mergeCell ref="A13:B13"/>
    <mergeCell ref="A1:B1"/>
    <mergeCell ref="A27:B27"/>
    <mergeCell ref="A39:B39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8" customWidth="1" style="107" min="1" max="1"/>
    <col width="14" customWidth="1" style="107" min="2" max="2"/>
    <col width="16" customWidth="1" style="107" min="3" max="3"/>
    <col width="46" customWidth="1" style="107" min="4" max="4"/>
    <col width="2" customWidth="1" style="107" min="5" max="5"/>
  </cols>
  <sheetData>
    <row r="1" ht="30" customHeight="1" s="108">
      <c r="A1" s="109" t="inlineStr">
        <is>
          <t>⚙ SETTINGS</t>
        </is>
      </c>
    </row>
    <row r="2" ht="15" customHeight="1" s="108">
      <c r="A2" s="110" t="inlineStr">
        <is>
          <t>FX rates &amp; commission defaults — update here, all sheets auto-recalculate</t>
        </is>
      </c>
    </row>
    <row r="3" ht="7.5" customHeight="1" s="108"/>
    <row r="4" ht="21.75" customHeight="1" s="108">
      <c r="A4" s="205" t="inlineStr">
        <is>
          <t>STARTING BALANCE (USD)</t>
        </is>
      </c>
      <c r="B4" s="206" t="inlineStr">
        <is>
          <t>Enter here →</t>
        </is>
      </c>
      <c r="C4" s="207" t="n">
        <v>0</v>
      </c>
      <c r="D4" s="208" t="inlineStr">
        <is>
          <t>← Balance before the first row in Transactions</t>
        </is>
      </c>
      <c r="E4" s="209" t="n"/>
    </row>
    <row r="5" ht="7.5" customHeight="1" s="108"/>
    <row r="6" ht="19.5" customHeight="1" s="108">
      <c r="A6" s="205" t="inlineStr">
        <is>
          <t>FX RATES  (1 USD = X)</t>
        </is>
      </c>
      <c r="B6" s="205" t="inlineStr">
        <is>
          <t>Rate</t>
        </is>
      </c>
      <c r="C6" s="205" t="inlineStr">
        <is>
          <t>Last updated</t>
        </is>
      </c>
      <c r="D6" s="205" t="inlineStr">
        <is>
          <t>Source</t>
        </is>
      </c>
      <c r="E6" s="210" t="n"/>
    </row>
    <row r="7" ht="18" customHeight="1" s="108">
      <c r="A7" s="211" t="inlineStr">
        <is>
          <t>AED</t>
        </is>
      </c>
      <c r="B7" s="212" t="n">
        <v>3.6725</v>
      </c>
      <c r="C7" s="213" t="inlineStr">
        <is>
          <t>25.12.2025</t>
        </is>
      </c>
      <c r="D7" s="213" t="inlineStr">
        <is>
          <t>Agent balance stmt · stable</t>
        </is>
      </c>
      <c r="E7" s="209" t="n"/>
    </row>
    <row r="8" ht="18" customHeight="1" s="108">
      <c r="A8" s="211" t="inlineStr">
        <is>
          <t>CNY</t>
        </is>
      </c>
      <c r="B8" s="212" t="n">
        <v>7.012512</v>
      </c>
      <c r="C8" s="213" t="inlineStr">
        <is>
          <t>13.01.2026</t>
        </is>
      </c>
      <c r="D8" s="213" t="inlineStr">
        <is>
          <t>Agent balance stmt · update each time</t>
        </is>
      </c>
      <c r="E8" s="209" t="n"/>
    </row>
    <row r="9" ht="18" customHeight="1" s="108">
      <c r="A9" s="214" t="inlineStr">
        <is>
          <t>USD</t>
        </is>
      </c>
      <c r="B9" s="215" t="n">
        <v>1</v>
      </c>
      <c r="C9" s="213" t="inlineStr">
        <is>
          <t>Fixed</t>
        </is>
      </c>
      <c r="D9" s="213" t="inlineStr">
        <is>
          <t>Fixed</t>
        </is>
      </c>
      <c r="E9" s="209" t="n"/>
    </row>
    <row r="10" ht="18" customHeight="1" s="108">
      <c r="A10" s="211" t="inlineStr">
        <is>
          <t>EUR</t>
        </is>
      </c>
      <c r="B10" s="212" t="n">
        <v>0.8434</v>
      </c>
      <c r="C10" s="213" t="inlineStr">
        <is>
          <t>17.02.2026</t>
        </is>
      </c>
      <c r="D10" s="213" t="inlineStr">
        <is>
          <t>Implied from agent stmt (2,800 EUR = $3,319.78)</t>
        </is>
      </c>
      <c r="E10" s="209" t="n"/>
    </row>
    <row r="11" ht="18" customHeight="1" s="108">
      <c r="A11" s="211" t="inlineStr">
        <is>
          <t>SGD</t>
        </is>
      </c>
      <c r="B11" s="212" t="n">
        <v>1.2535</v>
      </c>
      <c r="C11" s="213" t="inlineStr">
        <is>
          <t>21.01.2026</t>
        </is>
      </c>
      <c r="D11" s="213" t="inlineStr">
        <is>
          <t>Cross-rate: 2.93 SGD/AED ÷ 3.6725</t>
        </is>
      </c>
      <c r="E11" s="209" t="n"/>
    </row>
    <row r="12" ht="18" customHeight="1" s="108">
      <c r="A12" s="211" t="inlineStr">
        <is>
          <t>RUB</t>
        </is>
      </c>
      <c r="B12" s="212" t="n">
        <v>78.8527</v>
      </c>
      <c r="C12" s="213" t="inlineStr">
        <is>
          <t>14.01.2026</t>
        </is>
      </c>
      <c r="D12" s="213" t="inlineStr">
        <is>
          <t>ЦБ rate · update per agent statement</t>
        </is>
      </c>
      <c r="E12" s="209" t="n"/>
    </row>
    <row r="13" ht="18" customHeight="1" s="108">
      <c r="A13" s="211" t="inlineStr">
        <is>
          <t>INR</t>
        </is>
      </c>
      <c r="B13" s="212" t="n">
        <v>90.63</v>
      </c>
      <c r="C13" s="213" t="inlineStr">
        <is>
          <t>17.02.2026</t>
        </is>
      </c>
      <c r="D13" s="213" t="inlineStr">
        <is>
          <t>Implied from agent stmt</t>
        </is>
      </c>
      <c r="E13" s="209" t="n"/>
    </row>
    <row r="14" ht="18" customHeight="1" s="108">
      <c r="A14" s="211" t="inlineStr">
        <is>
          <t>HKD</t>
        </is>
      </c>
      <c r="B14" s="212" t="n">
        <v>7.78</v>
      </c>
      <c r="C14" s="213" t="inlineStr">
        <is>
          <t>Approx</t>
        </is>
      </c>
      <c r="D14" s="213" t="inlineStr">
        <is>
          <t>Market</t>
        </is>
      </c>
      <c r="E14" s="209" t="n"/>
    </row>
    <row r="15" ht="18" customHeight="1" s="108">
      <c r="A15" s="211" t="inlineStr">
        <is>
          <t>SAR</t>
        </is>
      </c>
      <c r="B15" s="212" t="n">
        <v>3.75</v>
      </c>
      <c r="C15" s="213" t="inlineStr">
        <is>
          <t>Fixed</t>
        </is>
      </c>
      <c r="D15" s="213" t="inlineStr">
        <is>
          <t>Fixed peg</t>
        </is>
      </c>
      <c r="E15" s="209" t="n"/>
    </row>
    <row r="16" ht="18" customHeight="1" s="108">
      <c r="A16" s="211" t="inlineStr">
        <is>
          <t>GBP</t>
        </is>
      </c>
      <c r="B16" s="212" t="n">
        <v>0.788</v>
      </c>
      <c r="C16" s="213" t="inlineStr">
        <is>
          <t>Approx</t>
        </is>
      </c>
      <c r="D16" s="213" t="inlineStr">
        <is>
          <t>Market</t>
        </is>
      </c>
      <c r="E16" s="209" t="n"/>
    </row>
    <row r="17" ht="7.5" customHeight="1" s="108">
      <c r="A17" s="216" t="inlineStr">
        <is>
          <t>BHD</t>
        </is>
      </c>
      <c r="B17" s="217" t="n">
        <v>0.37286</v>
      </c>
    </row>
    <row r="18" ht="19.5" customHeight="1" s="108">
      <c r="A18" s="218" t="inlineStr">
        <is>
          <t>USDT</t>
        </is>
      </c>
      <c r="B18" s="219" t="n">
        <v>1</v>
      </c>
      <c r="C18" s="218" t="inlineStr">
        <is>
          <t>1:1 USD (stablecoin)</t>
        </is>
      </c>
    </row>
    <row r="19" ht="18" customHeight="1" s="108">
      <c r="A19" s="205" t="inlineStr">
        <is>
          <t>TRANSACTION TYPE</t>
        </is>
      </c>
      <c r="B19" s="205" t="inlineStr">
        <is>
          <t>Default Comm %</t>
        </is>
      </c>
      <c r="C19" s="205" t="inlineStr">
        <is>
          <t>Notes</t>
        </is>
      </c>
      <c r="D19" s="210" t="n"/>
      <c r="E19" s="210" t="n"/>
    </row>
    <row r="20" ht="18" customHeight="1" s="108">
      <c r="A20" s="220" t="inlineStr">
        <is>
          <t>Deposit</t>
        </is>
      </c>
      <c r="B20" s="221" t="n">
        <v>0</v>
      </c>
      <c r="C20" s="222" t="inlineStr">
        <is>
          <t>No fee — we fund the agent</t>
        </is>
      </c>
      <c r="D20" s="209" t="n"/>
      <c r="E20" s="209" t="n"/>
    </row>
    <row r="21" ht="18" customHeight="1" s="108">
      <c r="A21" s="220" t="inlineStr">
        <is>
          <t>Payment</t>
        </is>
      </c>
      <c r="B21" s="221" t="n">
        <v>0.005</v>
      </c>
      <c r="C21" s="222" t="inlineStr">
        <is>
          <t>Standard 0.5%</t>
        </is>
      </c>
      <c r="D21" s="209" t="n"/>
      <c r="E21" s="209" t="n"/>
    </row>
    <row r="22" ht="18" customHeight="1" s="108">
      <c r="A22" s="220" t="inlineStr">
        <is>
          <t>Cash Out</t>
        </is>
      </c>
      <c r="B22" s="221" t="n">
        <v>0.005</v>
      </c>
      <c r="C22" s="222" t="inlineStr">
        <is>
          <t>Standard 0.5% — large deals may differ, override per row</t>
        </is>
      </c>
      <c r="D22" s="209" t="n"/>
      <c r="E22" s="209" t="n"/>
    </row>
    <row r="23" ht="18" customHeight="1" s="108">
      <c r="A23" s="220" t="inlineStr">
        <is>
          <t>Cash In</t>
        </is>
      </c>
      <c r="B23" s="221" t="n">
        <v>0</v>
      </c>
      <c r="C23" s="222" t="inlineStr">
        <is>
          <t>No fee — we send funds to agent</t>
        </is>
      </c>
      <c r="D23" s="209" t="n"/>
      <c r="E23" s="209" t="n"/>
    </row>
    <row r="24" ht="15" customHeight="1" s="108">
      <c r="A24" s="220" t="inlineStr">
        <is>
          <t>❓ Unknown</t>
        </is>
      </c>
      <c r="B24" s="221" t="n">
        <v>0</v>
      </c>
      <c r="C24" s="222" t="inlineStr">
        <is>
          <t>Set to 0 until clarified</t>
        </is>
      </c>
      <c r="D24" s="209" t="n"/>
      <c r="E24" s="209" t="n"/>
    </row>
    <row r="25" ht="27.75" customHeight="1" s="108">
      <c r="A25" s="218" t="n"/>
    </row>
    <row r="26" ht="81.75" customHeight="1" s="108">
      <c r="A26" s="223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6" s="127" t="n"/>
      <c r="C26" s="127" t="n"/>
      <c r="D26" s="127" t="n"/>
      <c r="E26" s="127" t="n"/>
    </row>
  </sheetData>
  <mergeCells count="3">
    <mergeCell ref="A2:E2"/>
    <mergeCell ref="A1:E1"/>
    <mergeCell ref="A25:E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2026-02-27T07:19:53Z</dcterms:modified>
  <cp:lastModifiedBy>Aleksandr Minkin</cp:lastModifiedBy>
  <cp:revision>0</cp:revision>
</cp:coreProperties>
</file>