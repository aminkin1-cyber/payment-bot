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Transactions" sheetId="2" state="visible" r:id="rId4"/>
    <sheet name="Invoices" sheetId="3" state="visible" r:id="rId5"/>
    <sheet name="Instructions" sheetId="4" state="visible" r:id="rId6"/>
    <sheet name="Sett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<sst xmlns="http://schemas.openxmlformats.org/spreadsheetml/2006/main" count="700" uniqueCount="395">
  <si>
    <t xml:space="preserve">📊 DASHBOARD</t>
  </si>
  <si>
    <t xml:space="preserve">  ⚡ AGENT BALANCE</t>
  </si>
  <si>
    <t xml:space="preserve">Current Agent Balance (USD)</t>
  </si>
  <si>
    <t xml:space="preserve">Starting Balance</t>
  </si>
  <si>
    <t xml:space="preserve">  📋 INVOICES</t>
  </si>
  <si>
    <t xml:space="preserve">Invoices Submitted — total count</t>
  </si>
  <si>
    <t xml:space="preserve">✅ Paid — count</t>
  </si>
  <si>
    <t xml:space="preserve">✅ Paid — USD total (approx)</t>
  </si>
  <si>
    <t xml:space="preserve">⏳ Pending — count</t>
  </si>
  <si>
    <t xml:space="preserve">⏳ Pending — USD total (known amounts)</t>
  </si>
  <si>
    <t xml:space="preserve">❓ Clarify / ⚠ Check — count</t>
  </si>
  <si>
    <t xml:space="preserve">📊 Total Unpaid — all statuses (USD equiv, projected)</t>
  </si>
  <si>
    <t xml:space="preserve">  💸 TRANSACTIONS SUMMARY</t>
  </si>
  <si>
    <t xml:space="preserve">Total Deposits to Agent (Gross USD)</t>
  </si>
  <si>
    <t xml:space="preserve">Total Cash Received from Agent (Gross USD)</t>
  </si>
  <si>
    <t xml:space="preserve">Total Payments Made (Gross USD)</t>
  </si>
  <si>
    <t xml:space="preserve">❓ Unknown — needs clarification (USD)</t>
  </si>
  <si>
    <t xml:space="preserve">💳 TRANSACTIONS</t>
  </si>
  <si>
    <t xml:space="preserve">Columns G–K are formulas (yellow) — only fill A–F and L. Override G or I if agent used a different rate.</t>
  </si>
  <si>
    <t xml:space="preserve">Date</t>
  </si>
  <si>
    <t xml:space="preserve">Type</t>
  </si>
  <si>
    <t xml:space="preserve">Description</t>
  </si>
  <si>
    <t xml:space="preserve">Payee</t>
  </si>
  <si>
    <t xml:space="preserve">CCY</t>
  </si>
  <si>
    <t xml:space="preserve">Amount</t>
  </si>
  <si>
    <t xml:space="preserve">FX Rate
(1 USD=X)</t>
  </si>
  <si>
    <t xml:space="preserve">Gross USD</t>
  </si>
  <si>
    <t xml:space="preserve">Comm %</t>
  </si>
  <si>
    <t xml:space="preserve">Net USD</t>
  </si>
  <si>
    <t xml:space="preserve">Balance USD</t>
  </si>
  <si>
    <t xml:space="preserve">Notes</t>
  </si>
  <si>
    <t xml:space="preserve">~Dec 2025</t>
  </si>
  <si>
    <t xml:space="preserve">Deposit</t>
  </si>
  <si>
    <t xml:space="preserve">50M AED deposit to agent</t>
  </si>
  <si>
    <t xml:space="preserve">(us)</t>
  </si>
  <si>
    <t xml:space="preserve">AED</t>
  </si>
  <si>
    <t xml:space="preserve">Opening deposit. Agent confirms $13,614,703.88 in 25.12 balance stmt</t>
  </si>
  <si>
    <t xml:space="preserve">22.12.2025</t>
  </si>
  <si>
    <t xml:space="preserve">Payment</t>
  </si>
  <si>
    <t xml:space="preserve">Chem Ron hire SH-TC2401-22 → Polaris Marine</t>
  </si>
  <si>
    <t xml:space="preserve">POLARIS MARINE LIMITED</t>
  </si>
  <si>
    <t xml:space="preserve">CNY</t>
  </si>
  <si>
    <t xml:space="preserve">Jiaren Marine / PING AN Bank. 25.12 balance confirmed</t>
  </si>
  <si>
    <t xml:space="preserve">25.12.2025</t>
  </si>
  <si>
    <t xml:space="preserve">RUB payment — prior deal (ЦБ 78.4368)</t>
  </si>
  <si>
    <t xml:space="preserve">TRADE X MIDDLE EAST FZCO</t>
  </si>
  <si>
    <t xml:space="preserve">RUB</t>
  </si>
  <si>
    <t xml:space="preserve">Balance = $0 after this. 25.12 balance stmt</t>
  </si>
  <si>
    <t xml:space="preserve">~Late Dec</t>
  </si>
  <si>
    <t xml:space="preserve">CNY 79,993,251 — Nexus → Elitesphere PingAn</t>
  </si>
  <si>
    <t xml:space="preserve">RCVD confirmed 30.12.2025</t>
  </si>
  <si>
    <t xml:space="preserve">29.12.2025</t>
  </si>
  <si>
    <t xml:space="preserve">Jiangsu Jinyangtong Shipping (Solhut Intercontinental)</t>
  </si>
  <si>
    <t xml:space="preserve">JIANGSU JINYANGTONG SHIPPING</t>
  </si>
  <si>
    <t xml:space="preserve">Solhut HK. BofChina. Ref PI9HK3587KA01546</t>
  </si>
  <si>
    <t xml:space="preserve">06.01.2026</t>
  </si>
  <si>
    <t xml:space="preserve">Chem Ron 23rd hire SH-TC2401-23 → Polaris Marine</t>
  </si>
  <si>
    <t xml:space="preserve">Bank of Shanghai → PingAn. USD 696k equiv</t>
  </si>
  <si>
    <t xml:space="preserve">07.01.2026</t>
  </si>
  <si>
    <t xml:space="preserve">Cash Out</t>
  </si>
  <si>
    <t xml:space="preserve">Cash 2,000,000 AED → Wladimir</t>
  </si>
  <si>
    <t xml:space="preserve">Hoja delivered. Wladimir confirmed</t>
  </si>
  <si>
    <t xml:space="preserve">08.01.2026</t>
  </si>
  <si>
    <t xml:space="preserve">Cash 1,650,000 AED → Alex</t>
  </si>
  <si>
    <t xml:space="preserve">Hoja delivered. Alex confirmed</t>
  </si>
  <si>
    <t xml:space="preserve">14.01.2026</t>
  </si>
  <si>
    <t xml:space="preserve">RUB → Trade X (=$5M USD equiv, ЦБ 78.8527)</t>
  </si>
  <si>
    <t xml:space="preserve">Masadan Trading payer. ИСПОЛНЕНО 14.01.2026</t>
  </si>
  <si>
    <t xml:space="preserve">Cash 3,000,000 AED → office</t>
  </si>
  <si>
    <t xml:space="preserve">Delivered to office. Wladimir/Alex received</t>
  </si>
  <si>
    <t xml:space="preserve">Al Watan RAK — inv 2000166506</t>
  </si>
  <si>
    <t xml:space="preserve">AL WATAN RAK</t>
  </si>
  <si>
    <t xml:space="preserve">Inv date 31.12.2025. RAWRIMA payer. Ref 1164015</t>
  </si>
  <si>
    <t xml:space="preserve">Lux Lifestyles — LUX-INV2025-228</t>
  </si>
  <si>
    <t xml:space="preserve">LUX LIFESTYLES TRADING LLC</t>
  </si>
  <si>
    <t xml:space="preserve">Event support 01.12.2025. RAWRIMA payer. Ref 1163835</t>
  </si>
  <si>
    <t xml:space="preserve">Lux Lifestyles — LUX-INV2026-004</t>
  </si>
  <si>
    <t xml:space="preserve">Lutron programming. RAWRIMA payer. Ref 1163838</t>
  </si>
  <si>
    <t xml:space="preserve">16.01.2026</t>
  </si>
  <si>
    <t xml:space="preserve">MENA Terminals Fujairah — PoF batch Dec 2025 (5 inv)</t>
  </si>
  <si>
    <t xml:space="preserve">MENA TERMINALS FUJAIRAH LLC FZC</t>
  </si>
  <si>
    <t xml:space="preserve">TROVECO payer. Ref 7202386567064989</t>
  </si>
  <si>
    <t xml:space="preserve">Quill Corporate — inv 143-122025</t>
  </si>
  <si>
    <t xml:space="preserve">QUILL CORPORATE SERVICES LLC</t>
  </si>
  <si>
    <t xml:space="preserve">M&amp;M DMCC Change of Director. RAWRIMA payer. Ref 1165703</t>
  </si>
  <si>
    <t xml:space="preserve">Quill Corporate — inv 93-012026</t>
  </si>
  <si>
    <t xml:space="preserve">Change of Manager &amp; Secretary DMCC. Ref 1165881</t>
  </si>
  <si>
    <t xml:space="preserve">21.01.2026</t>
  </si>
  <si>
    <t xml:space="preserve">JBC Management DMCC — cheque 5,000 AED</t>
  </si>
  <si>
    <t xml:space="preserve">JBC MANAGEMENT DMCC</t>
  </si>
  <si>
    <t xml:space="preserve">Cheque issued and delivered to office</t>
  </si>
  <si>
    <t xml:space="preserve">Al Bastaki — INV-2563 visa cancellation</t>
  </si>
  <si>
    <t xml:space="preserve">AL BASTAKI BUSINESS SERVICES LLC</t>
  </si>
  <si>
    <t xml:space="preserve">Visa cancellation Dmitrii Prokhorov. BALKEMY. FT26021H8D45</t>
  </si>
  <si>
    <t xml:space="preserve">RSM Stone Forest — inv 2480+2481+2482 (3 SG cos)</t>
  </si>
  <si>
    <t xml:space="preserve">RSM STONE FOREST CORPSERVE PTE LTD</t>
  </si>
  <si>
    <t xml:space="preserve">SGD</t>
  </si>
  <si>
    <t xml:space="preserve">NBAD→DBS. FT26021C826J. SGD/AED rate 2.93</t>
  </si>
  <si>
    <t xml:space="preserve">Cash 17,000 SGD in Singapore</t>
  </si>
  <si>
    <t xml:space="preserve">Alex received in SG. Photo token confirmed</t>
  </si>
  <si>
    <t xml:space="preserve">22.01.2026</t>
  </si>
  <si>
    <t xml:space="preserve">Aqua Reach — Balkemy internal transfer</t>
  </si>
  <si>
    <t xml:space="preserve">AQUA REACH GENERAL TRADING LLC</t>
  </si>
  <si>
    <t xml:space="preserve">Balkemy → Aqua Reach Banque Misr</t>
  </si>
  <si>
    <t xml:space="preserve">03.02.2026</t>
  </si>
  <si>
    <t xml:space="preserve">Cash In</t>
  </si>
  <si>
    <t xml:space="preserve">Egor sent 90,500 AED to Balkemy (Banque Misr)</t>
  </si>
  <si>
    <t xml:space="preserve">Egor confirmed sent 03.02.2026</t>
  </si>
  <si>
    <t xml:space="preserve">29.01.2026</t>
  </si>
  <si>
    <t xml:space="preserve">Cash 2,000,000 AED → Alex</t>
  </si>
  <si>
    <t xml:space="preserve">Alex received</t>
  </si>
  <si>
    <t xml:space="preserve">28.01.2026</t>
  </si>
  <si>
    <t xml:space="preserve">Quill Corporate — 12 invoices batch 55,453.14 AED</t>
  </si>
  <si>
    <t xml:space="preserve">Oct-Dec 2025 batch. BALKEMY payer. Ref 1177202</t>
  </si>
  <si>
    <t xml:space="preserve">04.02.2026</t>
  </si>
  <si>
    <t xml:space="preserve">Fu Hao Trading — Crown Powerful China mktg svcs</t>
  </si>
  <si>
    <t xml:space="preserve">FU HAO TRADING LIMITED</t>
  </si>
  <si>
    <t xml:space="preserve">HKD 550,250 = CNY 496,460. Elitesphere PingAn</t>
  </si>
  <si>
    <t xml:space="preserve">Menuristic — INV-2601-005 cloud hosting Jan-Mar 26</t>
  </si>
  <si>
    <t xml:space="preserve">MENURISTIC PTE LTD</t>
  </si>
  <si>
    <t xml:space="preserve">USD</t>
  </si>
  <si>
    <t xml:space="preserve"> Was SGD invoice — agent paid in USD. FT260346180T</t>
  </si>
  <si>
    <t xml:space="preserve">10.02.2026</t>
  </si>
  <si>
    <t xml:space="preserve">CNY 19,500,000 — Nexus → Elitesphere PingAn</t>
  </si>
  <si>
    <t xml:space="preserve">RCVD confirmed 10.02.2026</t>
  </si>
  <si>
    <t xml:space="preserve">12.02.2026</t>
  </si>
  <si>
    <t xml:space="preserve">Cash 4,000,000 AED → Alex</t>
  </si>
  <si>
    <t xml:space="preserve">Hoja delivered. Alex received</t>
  </si>
  <si>
    <t xml:space="preserve">17.02.2026</t>
  </si>
  <si>
    <t xml:space="preserve">RSM Stone Forest — 7 invoices 8,596.35 SGD</t>
  </si>
  <si>
    <t xml:space="preserve">Invs 1407-1411,1462,1549. SGD/AED 2.977</t>
  </si>
  <si>
    <t xml:space="preserve">Kinglet Ltd Cyprus — inv 014/02/2026 KYC services</t>
  </si>
  <si>
    <t xml:space="preserve">KINGLET LTD</t>
  </si>
  <si>
    <t xml:space="preserve">EUR</t>
  </si>
  <si>
    <t xml:space="preserve">Gornik Trading. FT26047G4HBJ</t>
  </si>
  <si>
    <t xml:space="preserve">1,178,000 INR. Harry salary</t>
  </si>
  <si>
    <t xml:space="preserve">Harry</t>
  </si>
  <si>
    <t xml:space="preserve">INR</t>
  </si>
  <si>
    <t xml:space="preserve">In 17.02 balance stmt. No invoice/payee in chat. Clarify with agent.</t>
  </si>
  <si>
    <t xml:space="preserve">100,000 EUR ($120k). Pilots Monaco</t>
  </si>
  <si>
    <t xml:space="preserve">Pilots Monaco</t>
  </si>
  <si>
    <t xml:space="preserve">20.02.2026</t>
  </si>
  <si>
    <t xml:space="preserve">50,000 USD sent to agent — confirmed received 23.02</t>
  </si>
  <si>
    <t xml:space="preserve">Pacs.008 OR26022000001768. Hoja confirmed 23.02.2026</t>
  </si>
  <si>
    <t xml:space="preserve">24.02.2026</t>
  </si>
  <si>
    <t xml:space="preserve">BWB — RAKEZ inv 2053 HoN 4-company renewal</t>
  </si>
  <si>
    <t xml:space="preserve">BUSINESS WITHOUT BORDERS LLC</t>
  </si>
  <si>
    <t xml:space="preserve">BALKEMY payer. NBAD→Emirates Islamic. FT260556HH32</t>
  </si>
  <si>
    <t xml:space="preserve">BWB — RAKEZ inv 2054 Al Salaam Solutions renewal</t>
  </si>
  <si>
    <t xml:space="preserve">BALKEMY payer. FT260554C5DC</t>
  </si>
  <si>
    <t xml:space="preserve">BWB — IFZA inv 2075 share transfer Muhammed Fazal</t>
  </si>
  <si>
    <t xml:space="preserve">BALKEMY payer. FT26055VFJC0</t>
  </si>
  <si>
    <t xml:space="preserve">50,000 USD sent to agent — confirmed received 25.02</t>
  </si>
  <si>
    <t xml:space="preserve">MAXIMUS WAY TRADING PTE LTD</t>
  </si>
  <si>
    <t xml:space="preserve">Pacs.008 OR26022400002178. Agent confirmed 25.02.2026 ('Поступление подтверждаем'). Recipient: MAXIMUS WAY TRADING PTE LTD. Myanmar.</t>
  </si>
  <si>
    <t xml:space="preserve">25.02.2026</t>
  </si>
  <si>
    <t xml:space="preserve">Port of Fujairah — 3 инвойса одним платежом через BALKEMY, NOC подписано, взято в работу</t>
  </si>
  <si>
    <t xml:space="preserve">SWIFT: NBFUAEAF, IBAN: AE770380000012000180217. Инвойсы: 2026JAN101159_161, 2026JAN102927, 2026JAN500401_429. Агент подтвердил: взяли в работу</t>
  </si>
  <si>
    <t xml:space="preserve">INV 4410 — 5YZ W L L-2 (invoice 1,980 BHD, paid in AED)</t>
  </si>
  <si>
    <t xml:space="preserve">5YZ W L L-2</t>
  </si>
  <si>
    <t xml:space="preserve">Original invoice in 1,980 BHD. Agent paid in AED. SWIFT confirmed.</t>
  </si>
  <si>
    <t xml:space="preserve">📋 INVOICE TRACKER</t>
  </si>
  <si>
    <t xml:space="preserve">All submitted invoices — Status dropdown: ⏳ Pending / ✅ Paid / ⚠ Check / ❓ Clarify</t>
  </si>
  <si>
    <t xml:space="preserve">Date Submitted</t>
  </si>
  <si>
    <t xml:space="preserve">Invoice #</t>
  </si>
  <si>
    <t xml:space="preserve">Payee / Beneficiary</t>
  </si>
  <si>
    <t xml:space="preserve">Inv. Amount</t>
  </si>
  <si>
    <t xml:space="preserve">USD Equiv.</t>
  </si>
  <si>
    <t xml:space="preserve">Status</t>
  </si>
  <si>
    <t xml:space="preserve">Date Paid</t>
  </si>
  <si>
    <t xml:space="preserve">Payment Reference</t>
  </si>
  <si>
    <t xml:space="preserve">11.12.2025</t>
  </si>
  <si>
    <t xml:space="preserve">ASTENO-2025-AS480</t>
  </si>
  <si>
    <t xml:space="preserve">ASTENO LOGISTICS FZCO</t>
  </si>
  <si>
    <t xml:space="preserve">✅ Paid</t>
  </si>
  <si>
    <t xml:space="preserve">15.12.2025</t>
  </si>
  <si>
    <t xml:space="preserve">MISR-AED-ASTENO</t>
  </si>
  <si>
    <t xml:space="preserve">Cash deal + 0.5% fee. Via OILQO SERVICES</t>
  </si>
  <si>
    <t xml:space="preserve">16.12.2025</t>
  </si>
  <si>
    <t xml:space="preserve">Jiaren (unnamed)</t>
  </si>
  <si>
    <t xml:space="preserve">PingAn/VESSANG</t>
  </si>
  <si>
    <t xml:space="preserve">Jiaren Marine Chem Ron inv</t>
  </si>
  <si>
    <t xml:space="preserve">(Solhut TT)</t>
  </si>
  <si>
    <t xml:space="preserve">PI9HK3587KA01546</t>
  </si>
  <si>
    <t xml:space="preserve">Solhut HK. Bank of China</t>
  </si>
  <si>
    <t xml:space="preserve">SH-TC2401-23</t>
  </si>
  <si>
    <t xml:space="preserve">4,356,737.02 CNY.pdf</t>
  </si>
  <si>
    <t xml:space="preserve">Chem Ron 23rd hire. USD 696k equiv</t>
  </si>
  <si>
    <t xml:space="preserve">13.01.2026</t>
  </si>
  <si>
    <t xml:space="preserve">2000166506</t>
  </si>
  <si>
    <t xml:space="preserve">Ref 1164015</t>
  </si>
  <si>
    <t xml:space="preserve">Inv date 31.12.2025</t>
  </si>
  <si>
    <t xml:space="preserve">LUX-INV2025-228</t>
  </si>
  <si>
    <t xml:space="preserve">Ref 1163835</t>
  </si>
  <si>
    <t xml:space="preserve">Event support 01.12.2025</t>
  </si>
  <si>
    <t xml:space="preserve">LUX-INV2026-004</t>
  </si>
  <si>
    <t xml:space="preserve">Ref 1163838</t>
  </si>
  <si>
    <t xml:space="preserve">Lutron programming balance</t>
  </si>
  <si>
    <t xml:space="preserve">PoF batch Dec 2025 (5 inv)</t>
  </si>
  <si>
    <t xml:space="preserve">Ref 7202386567064989</t>
  </si>
  <si>
    <t xml:space="preserve">5 invoices. TROVECO payer</t>
  </si>
  <si>
    <t xml:space="preserve">15.01.2026</t>
  </si>
  <si>
    <t xml:space="preserve">143-122025</t>
  </si>
  <si>
    <t xml:space="preserve">Ref 1165703</t>
  </si>
  <si>
    <t xml:space="preserve">M&amp;M DMCC Change of Director</t>
  </si>
  <si>
    <t xml:space="preserve">93-012026</t>
  </si>
  <si>
    <t xml:space="preserve">Ref 1165881</t>
  </si>
  <si>
    <t xml:space="preserve">Change of Manager &amp; Secretary DMCC</t>
  </si>
  <si>
    <t xml:space="preserve">19.01.2026</t>
  </si>
  <si>
    <t xml:space="preserve">CS/26/01/2480</t>
  </si>
  <si>
    <t xml:space="preserve">FT26021C826J</t>
  </si>
  <si>
    <t xml:space="preserve">MMI — ACRA filing</t>
  </si>
  <si>
    <t xml:space="preserve">CS/26/01/2481</t>
  </si>
  <si>
    <t xml:space="preserve">MMR — ACRA filing</t>
  </si>
  <si>
    <t xml:space="preserve">CS/26/01/2482</t>
  </si>
  <si>
    <t xml:space="preserve">MMT — total 3 invs = 932.70 SGD</t>
  </si>
  <si>
    <t xml:space="preserve">INV-2563</t>
  </si>
  <si>
    <t xml:space="preserve">FT26021H8D45</t>
  </si>
  <si>
    <t xml:space="preserve">Visa cancellation Dmitrii Prokhorov</t>
  </si>
  <si>
    <t xml:space="preserve">20.01.2026</t>
  </si>
  <si>
    <t xml:space="preserve">(JBC cheque)</t>
  </si>
  <si>
    <t xml:space="preserve">Cheque</t>
  </si>
  <si>
    <t xml:space="preserve">Cheque delivered to office</t>
  </si>
  <si>
    <t xml:space="preserve">(Aqua Reach transfer)</t>
  </si>
  <si>
    <t xml:space="preserve">Balkemy_2,121,212.17 AED</t>
  </si>
  <si>
    <t xml:space="preserve">Internal Balkemy → Aqua Reach Banque Misr</t>
  </si>
  <si>
    <t xml:space="preserve">27.01.2026</t>
  </si>
  <si>
    <t xml:space="preserve">238-102025 + 11 others</t>
  </si>
  <si>
    <t xml:space="preserve">Ref 1177202</t>
  </si>
  <si>
    <t xml:space="preserve">Batch 12 invoices Oct-Dec 2025. BALKEMY payer</t>
  </si>
  <si>
    <t xml:space="preserve">FI.PP_230125FHT-CROWN</t>
  </si>
  <si>
    <t xml:space="preserve">FU HAO TRADING LIMITED (HK)</t>
  </si>
  <si>
    <t xml:space="preserve">CNY TT / Elitesphere</t>
  </si>
  <si>
    <t xml:space="preserve">China mktg svcs. Crown Powerful. HKD 550,250</t>
  </si>
  <si>
    <t xml:space="preserve">30.01.2026</t>
  </si>
  <si>
    <t xml:space="preserve">INV-2601-005</t>
  </si>
  <si>
    <t xml:space="preserve">FT260346180T</t>
  </si>
  <si>
    <t xml:space="preserve">⚠ Was SGD invoice — agent paid in USD</t>
  </si>
  <si>
    <t xml:space="preserve">Inv 39+40+41 (Jul-Sep 25)</t>
  </si>
  <si>
    <t xml:space="preserve">A. SHAFRANOV (Rubitron Trade)</t>
  </si>
  <si>
    <t xml:space="preserve">⏳ Pending</t>
  </si>
  <si>
    <t xml:space="preserve">Agent agreed fiat $14,280.54 on 13.02. NO payment proof in chat. FOLLOW UP!</t>
  </si>
  <si>
    <t xml:space="preserve">11.02.2026</t>
  </si>
  <si>
    <t xml:space="preserve">CS/26/01/1407</t>
  </si>
  <si>
    <t xml:space="preserve">FT26047DC1BF+FT2604752HCH</t>
  </si>
  <si>
    <t xml:space="preserve">Myanmar Petroleum Svcs</t>
  </si>
  <si>
    <t xml:space="preserve">CS/26/01/1408</t>
  </si>
  <si>
    <t xml:space="preserve">MMI</t>
  </si>
  <si>
    <t xml:space="preserve">CS/26/01/1409</t>
  </si>
  <si>
    <t xml:space="preserve">MMR</t>
  </si>
  <si>
    <t xml:space="preserve">CS/26/01/1410</t>
  </si>
  <si>
    <t xml:space="preserve">MMT</t>
  </si>
  <si>
    <t xml:space="preserve">CS/26/01/1411+1462+1549</t>
  </si>
  <si>
    <t xml:space="preserve">MME+Maritime Shipping+Asia Shipco. Total 7 = 8,596.35 SGD</t>
  </si>
  <si>
    <t xml:space="preserve">014/02/2026</t>
  </si>
  <si>
    <t xml:space="preserve">KINGLET LTD (Cyprus)</t>
  </si>
  <si>
    <t xml:space="preserve">FT26047G4HBJ</t>
  </si>
  <si>
    <t xml:space="preserve">KYC/admin Gornik Trading. Nicosia.</t>
  </si>
  <si>
    <t xml:space="preserve">18.02.2026</t>
  </si>
  <si>
    <t xml:space="preserve">2053_RO</t>
  </si>
  <si>
    <t xml:space="preserve">FT260556HH32</t>
  </si>
  <si>
    <t xml:space="preserve">HoN RAKEZ L&amp;L renewal 4 companies</t>
  </si>
  <si>
    <t xml:space="preserve">2054_RO</t>
  </si>
  <si>
    <t xml:space="preserve">FT260554C5DC</t>
  </si>
  <si>
    <t xml:space="preserve">HoN L&amp;L renewal Al Salaam Solutions</t>
  </si>
  <si>
    <t xml:space="preserve">2075_RO</t>
  </si>
  <si>
    <t xml:space="preserve">FT26055VFJC0</t>
  </si>
  <si>
    <t xml:space="preserve">Share transfer IFZA — Muhammed Fazal</t>
  </si>
  <si>
    <t xml:space="preserve">19.02.2026</t>
  </si>
  <si>
    <t xml:space="preserve">DNMUW-487333+562223+563799</t>
  </si>
  <si>
    <t xml:space="preserve">DUBAI INSURANCE COMPANY</t>
  </si>
  <si>
    <t xml:space="preserve">3 invoices. Balkemy NOC letter in progress</t>
  </si>
  <si>
    <t xml:space="preserve">D-01-25-25172+D-01-26-01144</t>
  </si>
  <si>
    <t xml:space="preserve">ORIENT INSURANCE</t>
  </si>
  <si>
    <t xml:space="preserve">2 invoices. Balkemy NOC letter in progress</t>
  </si>
  <si>
    <t xml:space="preserve">FTIV000638</t>
  </si>
  <si>
    <t xml:space="preserve">BERNARD</t>
  </si>
  <si>
    <t xml:space="preserve">PoF SOA dd 2026-02-09</t>
  </si>
  <si>
    <t xml:space="preserve">NOC letter template sent</t>
  </si>
  <si>
    <t xml:space="preserve">inv000347</t>
  </si>
  <si>
    <t xml:space="preserve">FOIZ MENA</t>
  </si>
  <si>
    <t xml:space="preserve">FOIZ MENA inv000347 — amount from invoice PDF</t>
  </si>
  <si>
    <t xml:space="preserve">GL-1589</t>
  </si>
  <si>
    <t xml:space="preserve">AMA GLOBAL AUDITING</t>
  </si>
  <si>
    <t xml:space="preserve">AMA GLOBAL GL-1589 — amount from invoice PDF</t>
  </si>
  <si>
    <t xml:space="preserve">DXL-111843</t>
  </si>
  <si>
    <t xml:space="preserve">GEOCHEM</t>
  </si>
  <si>
    <t xml:space="preserve">GEOCHEM DXL-111843 — amount from invoice PDF</t>
  </si>
  <si>
    <t xml:space="preserve">2000170135</t>
  </si>
  <si>
    <t xml:space="preserve">AL WATAN</t>
  </si>
  <si>
    <t xml:space="preserve">AL WATAN 2000170135 — amount from invoice PDF</t>
  </si>
  <si>
    <t xml:space="preserve">GP Shipping batch</t>
  </si>
  <si>
    <t xml:space="preserve">GOOD PARTNER SHIPPING CO LTD (KR)</t>
  </si>
  <si>
    <t xml:space="preserve">Kookmin Bank Korea</t>
  </si>
  <si>
    <t xml:space="preserve">23.02.2026</t>
  </si>
  <si>
    <t xml:space="preserve">(TD International)</t>
  </si>
  <si>
    <t xml:space="preserve">TD INTERNATIONAL LLC</t>
  </si>
  <si>
    <t xml:space="preserve">Chase Bank CHASUS33. From BALKEMY</t>
  </si>
  <si>
    <t xml:space="preserve">INV 4410 (5YZ W L L-2)</t>
  </si>
  <si>
    <t xml:space="preserve">5YZ W.L.L</t>
  </si>
  <si>
    <t xml:space="preserve">BHD</t>
  </si>
  <si>
    <t xml:space="preserve">Original invoice 1,980 BHD. Agent paid in AED 19,502.10 (see Transactions row 43)</t>
  </si>
  <si>
    <t xml:space="preserve">📖 INSTRUCTIONS</t>
  </si>
  <si>
    <t xml:space="preserve">How to use this model — read once before you start</t>
  </si>
  <si>
    <t xml:space="preserve">OVERVIEW</t>
  </si>
  <si>
    <t xml:space="preserve">This model tracks all activity with your financial agent: invoice payments, deposits, cash deliveries, and the running USD balance.</t>
  </si>
  <si>
    <t xml:space="preserve">🗂  SHEETS</t>
  </si>
  <si>
    <t xml:space="preserve">📊 Dashboard</t>
  </si>
  <si>
    <t xml:space="preserve">Auto summary — current balance, invoice counts, totals. Nothing to fill in.</t>
  </si>
  <si>
    <t xml:space="preserve">💳 Transactions</t>
  </si>
  <si>
    <t xml:space="preserve">Main data entry sheet. Every money movement goes here.</t>
  </si>
  <si>
    <t xml:space="preserve">📋 Invoices</t>
  </si>
  <si>
    <t xml:space="preserve">Track every invoice: submitted, pending, paid.</t>
  </si>
  <si>
    <t xml:space="preserve">⚙ Settings</t>
  </si>
  <si>
    <t xml:space="preserve">FX rates and commission defaults — update here only.</t>
  </si>
  <si>
    <t xml:space="preserve">🎨  COLOR CODE</t>
  </si>
  <si>
    <t xml:space="preserve">🔵 Blue cells</t>
  </si>
  <si>
    <t xml:space="preserve">Your input — type freely here.</t>
  </si>
  <si>
    <t xml:space="preserve">🟡 Yellow cells</t>
  </si>
  <si>
    <t xml:space="preserve">Formulas — do NOT type here, they auto-calculate.</t>
  </si>
  <si>
    <t xml:space="preserve">🟢 Green rows</t>
  </si>
  <si>
    <t xml:space="preserve">Deposits / paid invoices.</t>
  </si>
  <si>
    <t xml:space="preserve">🟠 Orange rows</t>
  </si>
  <si>
    <t xml:space="preserve">Cash Out (agent delivers cash to you).</t>
  </si>
  <si>
    <t xml:space="preserve">🔴 Red rows</t>
  </si>
  <si>
    <t xml:space="preserve">Unknown transactions — need clarification.</t>
  </si>
  <si>
    <t xml:space="preserve">📥  ADDING A NEW INVOICE</t>
  </si>
  <si>
    <t xml:space="preserve">1.</t>
  </si>
  <si>
    <t xml:space="preserve">Go to 📋 Invoices · scroll to the first empty row.</t>
  </si>
  <si>
    <t xml:space="preserve">2.</t>
  </si>
  <si>
    <t xml:space="preserve">Fill in: Date · Invoice # · Payee · Currency · Amount.</t>
  </si>
  <si>
    <t xml:space="preserve">3.</t>
  </si>
  <si>
    <t xml:space="preserve">USD Equiv (col F) calculates automatically from Settings rates.</t>
  </si>
  <si>
    <t xml:space="preserve">4.</t>
  </si>
  <si>
    <t xml:space="preserve">Set Status dropdown → "⏳ Pending".</t>
  </si>
  <si>
    <t xml:space="preserve">5.</t>
  </si>
  <si>
    <t xml:space="preserve">When paid: MUST fill Date Paid (col H) AND Payment Reference (col I) in the SAME operation as changing Status → "✅ Paid". Never leave Date Paid empty if status is Paid.</t>
  </si>
  <si>
    <t xml:space="preserve">💸  ADDING A NEW TRANSACTION</t>
  </si>
  <si>
    <t xml:space="preserve">Go to 💳 Transactions · scroll to the first empty row.</t>
  </si>
  <si>
    <t xml:space="preserve">Fill: Date · Type (dropdown) · Description · Payee · CCY · Amount.</t>
  </si>
  <si>
    <t xml:space="preserve">FX Rate (col G) auto-fills from Settings. Override if agent used a different rate — just type over it.</t>
  </si>
  <si>
    <t xml:space="preserve">Comm % (col I) auto-fills by type. Override if needed (e.g. RUB = 0.4%).</t>
  </si>
  <si>
    <t xml:space="preserve">Gross USD, Net USD, and Balance all calculate automatically.</t>
  </si>
  <si>
    <t xml:space="preserve">🔄  UPDATING FX RATES</t>
  </si>
  <si>
    <t xml:space="preserve">→</t>
  </si>
  <si>
    <t xml:space="preserve">When agent sends a new balance statement: go to ⚙ Settings, update the blue Rate cells.</t>
  </si>
  <si>
    <t xml:space="preserve">New transaction rows will pick up the new rate automatically.</t>
  </si>
  <si>
    <t xml:space="preserve">Historical rows keep their original rate (intentional — matches agent's calculation).</t>
  </si>
  <si>
    <t xml:space="preserve">⚖  RECONCILING AGENT BALANCE STATEMENTS</t>
  </si>
  <si>
    <t xml:space="preserve">Compare agent's ending balance vs 'Current Agent Balance' on Dashboard.</t>
  </si>
  <si>
    <t xml:space="preserve">If different: find transactions in agent's statement not yet in your sheet.</t>
  </si>
  <si>
    <t xml:space="preserve">For anything without a clear invoice: Type = "❓ Unknown". Do NOT delete — ask agent first.</t>
  </si>
  <si>
    <t xml:space="preserve">Small differences (&lt; $500) are usually rounding — note in Notes column.</t>
  </si>
  <si>
    <t xml:space="preserve">⚠  RULES — DO NOT BREAK</t>
  </si>
  <si>
    <t xml:space="preserve">RUB commission is 0.4%, not 0.5%</t>
  </si>
  <si>
    <t xml:space="preserve">→ After adding a RUB row, manually set Comm % (col I) to 0.4%</t>
  </si>
  <si>
    <t xml:space="preserve">Do not insert or delete columns</t>
  </si>
  <si>
    <t xml:space="preserve">→ Formulas rely on column positions. Add/delete ROWS only.</t>
  </si>
  <si>
    <t xml:space="preserve">Do not rename sheets</t>
  </si>
  <si>
    <t xml:space="preserve">→ Formulas reference sheets by name.</t>
  </si>
  <si>
    <t xml:space="preserve">Do not type in yellow cells</t>
  </si>
  <si>
    <t xml:space="preserve">→ Yellow = formula. Typing over it will break the calculation.</t>
  </si>
  <si>
    <t xml:space="preserve">Date Paid is mandatory when Status = ✅ Paid</t>
  </si>
  <si>
    <t xml:space="preserve">→ If Status is ✅ Paid but Date Paid is empty — cell turns RED. Fix immediately: add the payment date from Transactions.</t>
  </si>
  <si>
    <t xml:space="preserve">⚙ SETTINGS</t>
  </si>
  <si>
    <t xml:space="preserve">FX rates &amp; commission defaults — update here, all sheets auto-recalculate</t>
  </si>
  <si>
    <t xml:space="preserve">STARTING BALANCE (USD)</t>
  </si>
  <si>
    <t xml:space="preserve">Enter here →</t>
  </si>
  <si>
    <t xml:space="preserve">← Balance before the first row in Transactions</t>
  </si>
  <si>
    <t xml:space="preserve">FX RATES  (1 USD = X)</t>
  </si>
  <si>
    <t xml:space="preserve">Rate</t>
  </si>
  <si>
    <t xml:space="preserve">Last updated</t>
  </si>
  <si>
    <t xml:space="preserve">Source</t>
  </si>
  <si>
    <t xml:space="preserve">Agent balance stmt · stable</t>
  </si>
  <si>
    <t xml:space="preserve">Agent balance stmt · update each time</t>
  </si>
  <si>
    <t xml:space="preserve">Fixed</t>
  </si>
  <si>
    <t xml:space="preserve">Implied from agent stmt (2,800 EUR = $3,319.78)</t>
  </si>
  <si>
    <t xml:space="preserve">Cross-rate: 2.93 SGD/AED ÷ 3.6725</t>
  </si>
  <si>
    <t xml:space="preserve">ЦБ rate · update per agent statement</t>
  </si>
  <si>
    <t xml:space="preserve">Implied from agent stmt</t>
  </si>
  <si>
    <t xml:space="preserve">HKD</t>
  </si>
  <si>
    <t xml:space="preserve">Approx</t>
  </si>
  <si>
    <t xml:space="preserve">Market</t>
  </si>
  <si>
    <t xml:space="preserve">SAR</t>
  </si>
  <si>
    <t xml:space="preserve">Fixed peg</t>
  </si>
  <si>
    <t xml:space="preserve">GBP</t>
  </si>
  <si>
    <t xml:space="preserve">TRANSACTION TYPE</t>
  </si>
  <si>
    <t xml:space="preserve">Default Comm %</t>
  </si>
  <si>
    <t xml:space="preserve">No fee — we fund the agent</t>
  </si>
  <si>
    <t xml:space="preserve">Standard 0.5%</t>
  </si>
  <si>
    <t xml:space="preserve">Standard 0.5% — large deals may differ, override per row</t>
  </si>
  <si>
    <t xml:space="preserve">No fee — we send funds to agent</t>
  </si>
  <si>
    <t xml:space="preserve">❓ Unknown</t>
  </si>
  <si>
    <t xml:space="preserve">Set to 0 until clarified</t>
  </si>
  <si>
    <t xml:space="preserve">⚠  TO UPDATE: change blue Rate cells above when agent sends a new balance statement. New Transaction rows will auto-pick up updated rates. Historical rows keep their original rate (intentional).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</si>
</sst>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#,##0;\(#,##0\);\-"/>
    <numFmt numFmtId="167" formatCode="0.00000"/>
    <numFmt numFmtId="168" formatCode="#,##0.00"/>
    <numFmt numFmtId="169" formatCode="0.0%"/>
    <numFmt numFmtId="170" formatCode="0.000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F7A1F"/>
      <name val="Arial"/>
      <family val="0"/>
      <charset val="1"/>
    </font>
    <font>
      <sz val="9"/>
      <color rgb="FF0000CC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505050"/>
      <name val="Arial"/>
      <family val="0"/>
      <charset val="1"/>
    </font>
    <font>
      <sz val="9"/>
      <color rgb="FF7B3F00"/>
      <name val="Arial"/>
      <family val="0"/>
      <charset val="1"/>
    </font>
    <font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7A1F"/>
      <name val="Arial"/>
      <family val="0"/>
      <charset val="1"/>
    </font>
    <font>
      <sz val="8"/>
      <color rgb="FF1F7A1F"/>
      <name val="Arial"/>
      <family val="0"/>
      <charset val="1"/>
    </font>
    <font>
      <b val="true"/>
      <sz val="9"/>
      <color rgb="FF7B3F00"/>
      <name val="Arial"/>
      <family val="0"/>
      <charset val="1"/>
    </font>
    <font>
      <sz val="8"/>
      <color rgb="FF7B3F00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D6E4F0"/>
      <name val="Arial"/>
      <family val="0"/>
      <charset val="1"/>
    </font>
    <font>
      <b val="true"/>
      <sz val="9"/>
      <color rgb="FF0000CC"/>
      <name val="Arial"/>
      <family val="0"/>
      <charset val="1"/>
    </font>
    <font>
      <i val="true"/>
      <sz val="8"/>
      <color rgb="FF606060"/>
      <name val="Arial"/>
      <family val="0"/>
      <charset val="1"/>
    </font>
    <font>
      <sz val="8"/>
      <color rgb="FF606060"/>
      <name val="Arial"/>
      <family val="0"/>
      <charset val="1"/>
    </font>
    <font>
      <sz val="8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color rgb="FF1F7A1F"/>
        <sz val="9"/>
      </font>
      <fill>
        <patternFill>
          <bgColor rgb="FFE2EFDA"/>
        </patternFill>
      </fill>
    </dxf>
    <dxf>
      <font>
        <name val="Arial"/>
        <charset val="1"/>
        <family val="0"/>
        <color rgb="FF7B3F00"/>
        <sz val="9"/>
      </font>
      <fill>
        <patternFill>
          <bgColor rgb="FFFDEBD0"/>
        </patternFill>
      </fill>
    </dxf>
    <dxf>
      <font>
        <name val="Arial"/>
        <charset val="1"/>
        <family val="0"/>
        <color rgb="FF1F3864"/>
        <sz val="9"/>
      </font>
      <fill>
        <patternFill>
          <bgColor rgb="FFD6E4F0"/>
        </patternFill>
      </fill>
    </dxf>
    <dxf>
      <font>
        <name val="Arial"/>
        <charset val="1"/>
        <family val="0"/>
        <color rgb="FF000000"/>
        <sz val="9"/>
      </font>
      <fill>
        <patternFill>
          <bgColor rgb="FFFFFFFF"/>
        </patternFill>
      </fill>
    </dxf>
    <dxf>
      <font>
        <name val="Arial"/>
        <charset val="1"/>
        <family val="0"/>
        <color rgb="FF505050"/>
        <sz val="8"/>
      </font>
      <fill>
        <patternFill>
          <bgColor rgb="FFF2F2F2"/>
        </patternFill>
      </fill>
    </dxf>
    <dxf>
      <font>
        <name val="Arial"/>
        <charset val="1"/>
        <family val="0"/>
        <color rgb="FF7B3F00"/>
        <sz val="9"/>
      </font>
      <fill>
        <patternFill>
          <bgColor rgb="FFFFF2CC"/>
        </patternFill>
      </fill>
    </dxf>
    <dxf>
      <font>
        <name val="Arial"/>
        <charset val="1"/>
        <family val="0"/>
        <color rgb="FF1F3864"/>
        <sz val="9"/>
      </font>
      <fill>
        <patternFill>
          <bgColor rgb="FFDCE6F1"/>
        </patternFill>
      </fill>
    </dxf>
    <dxf>
      <font>
        <name val="Arial"/>
        <charset val="1"/>
        <family val="0"/>
        <color rgb="FF843C0C"/>
        <sz val="9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1F7A1F"/>
        <sz val="9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7B3F00"/>
        <sz val="9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1F3864"/>
        <sz val="9"/>
      </font>
      <fill>
        <patternFill>
          <bgColor rgb="FFDCE6F1"/>
        </patternFill>
      </fill>
    </dxf>
    <dxf>
      <font>
        <name val="Arial"/>
        <charset val="1"/>
        <family val="0"/>
        <b val="1"/>
        <color rgb="FF843C0C"/>
        <sz val="9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FBFBF"/>
      <rgbColor rgb="FF808080"/>
      <rgbColor rgb="FF9999FF"/>
      <rgbColor rgb="FF7B3F00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DEBD0"/>
      <rgbColor rgb="FFF2F2F2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4" min="3" style="1" width="2"/>
    <col collapsed="false" customWidth="true" hidden="false" outlineLevel="0" max="5" min="5" style="1" width="18"/>
    <col collapsed="false" customWidth="true" hidden="false" outlineLevel="0" max="6" min="6" style="1" width="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21.75" hidden="false" customHeight="true" outlineLevel="0" collapsed="false">
      <c r="B4" s="4" t="s">
        <v>1</v>
      </c>
      <c r="C4" s="4"/>
      <c r="D4" s="4"/>
      <c r="E4" s="4"/>
      <c r="F4" s="4"/>
    </row>
    <row r="5" customFormat="false" ht="24" hidden="false" customHeight="true" outlineLevel="0" collapsed="false">
      <c r="B5" s="5" t="s">
        <v>2</v>
      </c>
      <c r="C5" s="5"/>
      <c r="D5" s="5"/>
      <c r="E5" s="6" t="n">
        <f aca="false">IFERROR(LOOKUP(2,1/(Transactions!$K$5:$K$300&lt;&gt;""),Transactions!$K$5:$K$300),Settings!$C$4)</f>
        <v>4329979.79</v>
      </c>
      <c r="F5" s="6"/>
    </row>
    <row r="6" customFormat="false" ht="24" hidden="false" customHeight="true" outlineLevel="0" collapsed="false">
      <c r="B6" s="7" t="s">
        <v>3</v>
      </c>
      <c r="C6" s="7"/>
      <c r="D6" s="7"/>
      <c r="E6" s="8" t="n">
        <f aca="false">Settings!$C$4</f>
        <v>0</v>
      </c>
      <c r="F6" s="8"/>
    </row>
    <row r="7" customFormat="false" ht="6" hidden="false" customHeight="true" outlineLevel="0" collapsed="false"/>
    <row r="8" customFormat="false" ht="21.75" hidden="false" customHeight="true" outlineLevel="0" collapsed="false">
      <c r="B8" s="4" t="s">
        <v>4</v>
      </c>
      <c r="C8" s="4"/>
      <c r="D8" s="4"/>
      <c r="E8" s="4"/>
      <c r="F8" s="4"/>
    </row>
    <row r="9" customFormat="false" ht="24" hidden="false" customHeight="true" outlineLevel="0" collapsed="false">
      <c r="B9" s="7" t="s">
        <v>5</v>
      </c>
      <c r="C9" s="7"/>
      <c r="D9" s="7"/>
      <c r="E9" s="9" t="n">
        <f aca="false">COUNTA(Invoices!$A$5:$A$200)</f>
        <v>40</v>
      </c>
      <c r="F9" s="9"/>
    </row>
    <row r="10" customFormat="false" ht="24" hidden="false" customHeight="true" outlineLevel="0" collapsed="false">
      <c r="B10" s="7" t="s">
        <v>6</v>
      </c>
      <c r="C10" s="7"/>
      <c r="D10" s="7"/>
      <c r="E10" s="10" t="n">
        <f aca="false">COUNTIF(Invoices!$G$5:$G$200,"✅ Paid")</f>
        <v>29</v>
      </c>
      <c r="F10" s="10"/>
    </row>
    <row r="11" customFormat="false" ht="24" hidden="false" customHeight="true" outlineLevel="0" collapsed="false">
      <c r="B11" s="7" t="s">
        <v>7</v>
      </c>
      <c r="C11" s="7"/>
      <c r="D11" s="7"/>
      <c r="E11" s="11" t="n">
        <f aca="false">SUMIF(Invoices!$G$5:$G$200,"✅ Paid",Invoices!$F$5:$F$200)</f>
        <v>1921335.89099567</v>
      </c>
      <c r="F11" s="11"/>
    </row>
    <row r="12" customFormat="false" ht="24" hidden="false" customHeight="true" outlineLevel="0" collapsed="false">
      <c r="B12" s="7" t="s">
        <v>8</v>
      </c>
      <c r="C12" s="7"/>
      <c r="D12" s="7"/>
      <c r="E12" s="12" t="n">
        <f aca="false">COUNTIF(Invoices!$G$5:$G$200,"⏳ Pending")</f>
        <v>11</v>
      </c>
      <c r="F12" s="12"/>
    </row>
    <row r="13" customFormat="false" ht="24" hidden="false" customHeight="true" outlineLevel="0" collapsed="false">
      <c r="B13" s="7" t="s">
        <v>9</v>
      </c>
      <c r="C13" s="7"/>
      <c r="D13" s="7"/>
      <c r="E13" s="6" t="n">
        <f aca="false">SUMIF(Invoices!$G$5:$G$200,"⏳ Pending",Invoices!$F$5:$F$200)</f>
        <v>382101.18701838</v>
      </c>
      <c r="F13" s="6"/>
    </row>
    <row r="14" customFormat="false" ht="24" hidden="false" customHeight="true" outlineLevel="0" collapsed="false">
      <c r="B14" s="7" t="s">
        <v>10</v>
      </c>
      <c r="C14" s="7"/>
      <c r="D14" s="7"/>
      <c r="E14" s="13" t="n">
        <f aca="false">COUNTIF(Invoices!$G$5:$G$200,"❓ Clarify")+COUNTIF(Invoices!$G$5:$G$200,"⚠ Partial/Check")</f>
        <v>0</v>
      </c>
      <c r="F14" s="13"/>
    </row>
    <row r="15" customFormat="false" ht="24" hidden="false" customHeight="true" outlineLevel="0" collapsed="false">
      <c r="B15" s="14" t="s">
        <v>11</v>
      </c>
      <c r="C15" s="15"/>
      <c r="D15" s="15"/>
      <c r="E15" s="16" t="n">
        <f aca="false">SUMPRODUCT(IF(Invoices!$G$5:$G$200&lt;&gt;"✅ Paid",IF(Invoices!$G$5:$G$200&lt;&gt;"",IF(ISNUMBER(Invoices!$F$5:$F$200),Invoices!$F$5:$F$200,0),0),0))</f>
        <v>382101.18701838</v>
      </c>
    </row>
    <row r="16" customFormat="false" ht="21.75" hidden="false" customHeight="true" outlineLevel="0" collapsed="false">
      <c r="B16" s="17"/>
      <c r="C16" s="17"/>
      <c r="D16" s="17"/>
      <c r="E16" s="17"/>
      <c r="F16" s="17"/>
    </row>
    <row r="17" customFormat="false" ht="24" hidden="false" customHeight="true" outlineLevel="0" collapsed="false">
      <c r="B17" s="4" t="s">
        <v>12</v>
      </c>
      <c r="C17" s="4"/>
      <c r="D17" s="4"/>
      <c r="E17" s="17"/>
      <c r="F17" s="17"/>
    </row>
    <row r="18" customFormat="false" ht="24" hidden="false" customHeight="true" outlineLevel="0" collapsed="false">
      <c r="B18" s="7" t="s">
        <v>13</v>
      </c>
      <c r="C18" s="7"/>
      <c r="D18" s="7"/>
      <c r="E18" s="11" t="n">
        <f aca="false">SUMIF(Transactions!$B$5:$B$300,"Deposit",Transactions!$H$5:$H$300)</f>
        <v>27843224.59</v>
      </c>
      <c r="F18" s="11"/>
    </row>
    <row r="19" customFormat="false" ht="24" hidden="false" customHeight="true" outlineLevel="0" collapsed="false">
      <c r="B19" s="7" t="s">
        <v>14</v>
      </c>
      <c r="C19" s="7"/>
      <c r="D19" s="7"/>
      <c r="E19" s="18" t="n">
        <f aca="false">SUMIF(Transactions!$B$5:$B$300,"Cash Out",Transactions!$H$5:$H$300)</f>
        <v>3590783.16</v>
      </c>
      <c r="F19" s="18"/>
    </row>
    <row r="20" customFormat="false" ht="24" hidden="false" customHeight="true" outlineLevel="0" collapsed="false">
      <c r="B20" s="7" t="s">
        <v>15</v>
      </c>
      <c r="C20" s="7"/>
      <c r="D20" s="7"/>
      <c r="E20" s="19" t="n">
        <f aca="false">SUMIF(Transactions!$B$5:$B$300,"Payment",Transactions!$H$5:$H$300)</f>
        <v>20047018.87</v>
      </c>
      <c r="F20" s="19"/>
    </row>
    <row r="21" customFormat="false" ht="15" hidden="false" customHeight="true" outlineLevel="0" collapsed="false">
      <c r="B21" s="7" t="s">
        <v>16</v>
      </c>
      <c r="C21" s="20"/>
      <c r="D21" s="20"/>
      <c r="E21" s="21" t="n">
        <f aca="false">SUMIF(Transactions!$B$5:$B$300,"❓ Unknown",Transactions!$H$5:$H$300)</f>
        <v>0</v>
      </c>
      <c r="F21" s="20"/>
    </row>
  </sheetData>
  <mergeCells count="29">
    <mergeCell ref="A1:F1"/>
    <mergeCell ref="A2:F2"/>
    <mergeCell ref="B4:F4"/>
    <mergeCell ref="B5:D5"/>
    <mergeCell ref="E5:F5"/>
    <mergeCell ref="B6:D6"/>
    <mergeCell ref="E6:F6"/>
    <mergeCell ref="B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6:F16"/>
    <mergeCell ref="B17:D17"/>
    <mergeCell ref="E17:F17"/>
    <mergeCell ref="B18:D18"/>
    <mergeCell ref="E18:F18"/>
    <mergeCell ref="B19:D19"/>
    <mergeCell ref="E19:F19"/>
    <mergeCell ref="B20:D20"/>
    <mergeCell ref="E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35" activePane="bottomLeft" state="frozen"/>
      <selection pane="topLeft" activeCell="A1" activeCellId="0" sqref="A1"/>
      <selection pane="bottomLeft" activeCell="L31" activeCellId="0" sqref="L31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42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40"/>
  </cols>
  <sheetData>
    <row r="1" customFormat="false" ht="30" hidden="false" customHeight="true" outlineLevel="0" collapsed="false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5.5" hidden="false" customHeight="true" outlineLevel="0" collapsed="false">
      <c r="A4" s="22" t="s">
        <v>19</v>
      </c>
      <c r="B4" s="22" t="s">
        <v>20</v>
      </c>
      <c r="C4" s="22" t="s">
        <v>21</v>
      </c>
      <c r="D4" s="22" t="s">
        <v>22</v>
      </c>
      <c r="E4" s="22" t="s">
        <v>23</v>
      </c>
      <c r="F4" s="22" t="s">
        <v>24</v>
      </c>
      <c r="G4" s="23" t="s">
        <v>25</v>
      </c>
      <c r="H4" s="22" t="s">
        <v>26</v>
      </c>
      <c r="I4" s="22" t="s">
        <v>27</v>
      </c>
      <c r="J4" s="22" t="s">
        <v>28</v>
      </c>
      <c r="K4" s="22" t="s">
        <v>29</v>
      </c>
      <c r="L4" s="22" t="s">
        <v>30</v>
      </c>
    </row>
    <row r="5" customFormat="false" ht="27.75" hidden="false" customHeight="true" outlineLevel="0" collapsed="false">
      <c r="A5" s="24" t="s">
        <v>31</v>
      </c>
      <c r="B5" s="24" t="s">
        <v>32</v>
      </c>
      <c r="C5" s="24" t="s">
        <v>33</v>
      </c>
      <c r="D5" s="24" t="s">
        <v>34</v>
      </c>
      <c r="E5" s="25" t="s">
        <v>35</v>
      </c>
      <c r="F5" s="26" t="n">
        <v>50000000</v>
      </c>
      <c r="G5" s="27" t="n">
        <v>3.6725</v>
      </c>
      <c r="H5" s="28" t="n">
        <v>13614703.88</v>
      </c>
      <c r="I5" s="29" t="n">
        <v>0</v>
      </c>
      <c r="J5" s="28" t="n">
        <v>13614703.88</v>
      </c>
      <c r="K5" s="30" t="n">
        <v>13614703.88</v>
      </c>
      <c r="L5" s="31" t="s">
        <v>36</v>
      </c>
    </row>
    <row r="6" customFormat="false" ht="27.75" hidden="false" customHeight="true" outlineLevel="0" collapsed="false">
      <c r="A6" s="32" t="s">
        <v>37</v>
      </c>
      <c r="B6" s="32" t="s">
        <v>38</v>
      </c>
      <c r="C6" s="32" t="s">
        <v>39</v>
      </c>
      <c r="D6" s="32" t="s">
        <v>40</v>
      </c>
      <c r="E6" s="33" t="s">
        <v>41</v>
      </c>
      <c r="F6" s="34" t="n">
        <v>74520</v>
      </c>
      <c r="G6" s="27" t="n">
        <v>7.038</v>
      </c>
      <c r="H6" s="28" t="n">
        <v>10588.24</v>
      </c>
      <c r="I6" s="29" t="n">
        <v>0.005</v>
      </c>
      <c r="J6" s="28" t="n">
        <v>-10641.45</v>
      </c>
      <c r="K6" s="30" t="n">
        <v>13604062.43</v>
      </c>
      <c r="L6" s="31" t="s">
        <v>42</v>
      </c>
    </row>
    <row r="7" customFormat="false" ht="27.75" hidden="false" customHeight="true" outlineLevel="0" collapsed="false">
      <c r="A7" s="32" t="s">
        <v>43</v>
      </c>
      <c r="B7" s="32" t="s">
        <v>38</v>
      </c>
      <c r="C7" s="32" t="s">
        <v>44</v>
      </c>
      <c r="D7" s="32" t="s">
        <v>45</v>
      </c>
      <c r="E7" s="33" t="s">
        <v>46</v>
      </c>
      <c r="F7" s="34" t="n">
        <v>1062790869.53</v>
      </c>
      <c r="G7" s="27" t="n">
        <v>78.4368</v>
      </c>
      <c r="H7" s="28" t="n">
        <v>13549645.95</v>
      </c>
      <c r="I7" s="29" t="n">
        <v>0.004</v>
      </c>
      <c r="J7" s="28" t="n">
        <v>-13604062.2</v>
      </c>
      <c r="K7" s="30" t="n">
        <v>0.23</v>
      </c>
      <c r="L7" s="31" t="s">
        <v>47</v>
      </c>
    </row>
    <row r="8" customFormat="false" ht="27.75" hidden="false" customHeight="true" outlineLevel="0" collapsed="false">
      <c r="A8" s="24" t="s">
        <v>48</v>
      </c>
      <c r="B8" s="24" t="s">
        <v>32</v>
      </c>
      <c r="C8" s="24" t="s">
        <v>49</v>
      </c>
      <c r="D8" s="24" t="s">
        <v>34</v>
      </c>
      <c r="E8" s="25" t="s">
        <v>41</v>
      </c>
      <c r="F8" s="26" t="n">
        <v>79993251</v>
      </c>
      <c r="G8" s="27" t="n">
        <v>7.01251</v>
      </c>
      <c r="H8" s="28" t="n">
        <v>11407217.7</v>
      </c>
      <c r="I8" s="29" t="n">
        <v>0</v>
      </c>
      <c r="J8" s="28" t="n">
        <v>11407217.7</v>
      </c>
      <c r="K8" s="30" t="n">
        <v>11407217.93</v>
      </c>
      <c r="L8" s="31" t="s">
        <v>50</v>
      </c>
    </row>
    <row r="9" customFormat="false" ht="27.75" hidden="false" customHeight="true" outlineLevel="0" collapsed="false">
      <c r="A9" s="32" t="s">
        <v>51</v>
      </c>
      <c r="B9" s="32" t="s">
        <v>38</v>
      </c>
      <c r="C9" s="32" t="s">
        <v>52</v>
      </c>
      <c r="D9" s="32" t="s">
        <v>53</v>
      </c>
      <c r="E9" s="33" t="s">
        <v>41</v>
      </c>
      <c r="F9" s="34" t="n">
        <v>381089</v>
      </c>
      <c r="G9" s="27" t="n">
        <v>7.01251</v>
      </c>
      <c r="H9" s="28" t="n">
        <v>54344.15</v>
      </c>
      <c r="I9" s="29" t="n">
        <v>0.005</v>
      </c>
      <c r="J9" s="28" t="n">
        <v>-54617.24</v>
      </c>
      <c r="K9" s="30" t="n">
        <v>11352600.69</v>
      </c>
      <c r="L9" s="31" t="s">
        <v>54</v>
      </c>
    </row>
    <row r="10" customFormat="false" ht="27.75" hidden="false" customHeight="true" outlineLevel="0" collapsed="false">
      <c r="A10" s="32" t="s">
        <v>55</v>
      </c>
      <c r="B10" s="32" t="s">
        <v>38</v>
      </c>
      <c r="C10" s="32" t="s">
        <v>56</v>
      </c>
      <c r="D10" s="32" t="s">
        <v>40</v>
      </c>
      <c r="E10" s="33" t="s">
        <v>41</v>
      </c>
      <c r="F10" s="34" t="n">
        <v>4356737.02</v>
      </c>
      <c r="G10" s="27" t="n">
        <v>7.01251</v>
      </c>
      <c r="H10" s="28" t="n">
        <v>621280.51</v>
      </c>
      <c r="I10" s="29" t="n">
        <v>0.005</v>
      </c>
      <c r="J10" s="28" t="n">
        <v>-624402.52</v>
      </c>
      <c r="K10" s="30" t="n">
        <v>10728198.17</v>
      </c>
      <c r="L10" s="31" t="s">
        <v>57</v>
      </c>
    </row>
    <row r="11" customFormat="false" ht="27.75" hidden="false" customHeight="true" outlineLevel="0" collapsed="false">
      <c r="A11" s="35" t="s">
        <v>58</v>
      </c>
      <c r="B11" s="35" t="s">
        <v>59</v>
      </c>
      <c r="C11" s="35" t="s">
        <v>60</v>
      </c>
      <c r="D11" s="35" t="s">
        <v>34</v>
      </c>
      <c r="E11" s="36" t="s">
        <v>35</v>
      </c>
      <c r="F11" s="37" t="n">
        <v>2000000</v>
      </c>
      <c r="G11" s="27" t="n">
        <v>3.6725</v>
      </c>
      <c r="H11" s="28" t="n">
        <v>544588.16</v>
      </c>
      <c r="I11" s="29" t="n">
        <v>0.005</v>
      </c>
      <c r="J11" s="28" t="n">
        <v>-547324.78</v>
      </c>
      <c r="K11" s="30" t="n">
        <v>10180873.39</v>
      </c>
      <c r="L11" s="31" t="s">
        <v>61</v>
      </c>
    </row>
    <row r="12" customFormat="false" ht="27.75" hidden="false" customHeight="true" outlineLevel="0" collapsed="false">
      <c r="A12" s="35" t="s">
        <v>62</v>
      </c>
      <c r="B12" s="35" t="s">
        <v>59</v>
      </c>
      <c r="C12" s="35" t="s">
        <v>63</v>
      </c>
      <c r="D12" s="35" t="s">
        <v>34</v>
      </c>
      <c r="E12" s="36" t="s">
        <v>35</v>
      </c>
      <c r="F12" s="37" t="n">
        <v>1650000</v>
      </c>
      <c r="G12" s="27" t="n">
        <v>3.6725</v>
      </c>
      <c r="H12" s="28" t="n">
        <v>449285.23</v>
      </c>
      <c r="I12" s="29" t="n">
        <v>0.005</v>
      </c>
      <c r="J12" s="28" t="n">
        <v>-451542.94</v>
      </c>
      <c r="K12" s="30" t="n">
        <v>9729330.45</v>
      </c>
      <c r="L12" s="31" t="s">
        <v>64</v>
      </c>
    </row>
    <row r="13" customFormat="false" ht="27.75" hidden="false" customHeight="true" outlineLevel="0" collapsed="false">
      <c r="A13" s="32" t="s">
        <v>65</v>
      </c>
      <c r="B13" s="32" t="s">
        <v>38</v>
      </c>
      <c r="C13" s="32" t="s">
        <v>66</v>
      </c>
      <c r="D13" s="32" t="s">
        <v>45</v>
      </c>
      <c r="E13" s="33" t="s">
        <v>46</v>
      </c>
      <c r="F13" s="34" t="n">
        <v>392686446</v>
      </c>
      <c r="G13" s="27" t="n">
        <v>78.8527</v>
      </c>
      <c r="H13" s="28" t="n">
        <v>4980000</v>
      </c>
      <c r="I13" s="29" t="n">
        <v>0.004</v>
      </c>
      <c r="J13" s="28" t="n">
        <v>-5000000</v>
      </c>
      <c r="K13" s="30" t="n">
        <v>4729330.45</v>
      </c>
      <c r="L13" s="31" t="s">
        <v>67</v>
      </c>
    </row>
    <row r="14" customFormat="false" ht="27.75" hidden="false" customHeight="true" outlineLevel="0" collapsed="false">
      <c r="A14" s="35" t="s">
        <v>65</v>
      </c>
      <c r="B14" s="35" t="s">
        <v>59</v>
      </c>
      <c r="C14" s="35" t="s">
        <v>68</v>
      </c>
      <c r="D14" s="35" t="s">
        <v>34</v>
      </c>
      <c r="E14" s="36" t="s">
        <v>35</v>
      </c>
      <c r="F14" s="37" t="n">
        <v>3000000</v>
      </c>
      <c r="G14" s="27" t="n">
        <v>3.6725</v>
      </c>
      <c r="H14" s="28" t="n">
        <v>816882.23</v>
      </c>
      <c r="I14" s="29" t="n">
        <v>0.005</v>
      </c>
      <c r="J14" s="28" t="n">
        <v>-820987.17</v>
      </c>
      <c r="K14" s="30" t="n">
        <v>3908343.28</v>
      </c>
      <c r="L14" s="31" t="s">
        <v>69</v>
      </c>
    </row>
    <row r="15" customFormat="false" ht="27.75" hidden="false" customHeight="true" outlineLevel="0" collapsed="false">
      <c r="A15" s="32" t="s">
        <v>65</v>
      </c>
      <c r="B15" s="32" t="s">
        <v>38</v>
      </c>
      <c r="C15" s="32" t="s">
        <v>70</v>
      </c>
      <c r="D15" s="32" t="s">
        <v>71</v>
      </c>
      <c r="E15" s="33" t="s">
        <v>35</v>
      </c>
      <c r="F15" s="34" t="n">
        <v>30240</v>
      </c>
      <c r="G15" s="27" t="n">
        <v>3.6725</v>
      </c>
      <c r="H15" s="28" t="n">
        <v>8234.17</v>
      </c>
      <c r="I15" s="29" t="n">
        <v>0.005</v>
      </c>
      <c r="J15" s="28" t="n">
        <v>-8275.55</v>
      </c>
      <c r="K15" s="30" t="n">
        <v>3900067.73</v>
      </c>
      <c r="L15" s="31" t="s">
        <v>72</v>
      </c>
    </row>
    <row r="16" customFormat="false" ht="27.75" hidden="false" customHeight="true" outlineLevel="0" collapsed="false">
      <c r="A16" s="32" t="s">
        <v>65</v>
      </c>
      <c r="B16" s="32" t="s">
        <v>38</v>
      </c>
      <c r="C16" s="32" t="s">
        <v>73</v>
      </c>
      <c r="D16" s="32" t="s">
        <v>74</v>
      </c>
      <c r="E16" s="33" t="s">
        <v>35</v>
      </c>
      <c r="F16" s="34" t="n">
        <v>1890</v>
      </c>
      <c r="G16" s="27" t="n">
        <v>3.6725</v>
      </c>
      <c r="H16" s="28" t="n">
        <v>514.64</v>
      </c>
      <c r="I16" s="29" t="n">
        <v>0.005</v>
      </c>
      <c r="J16" s="28" t="n">
        <v>-517.23</v>
      </c>
      <c r="K16" s="30" t="n">
        <v>3899550.5</v>
      </c>
      <c r="L16" s="31" t="s">
        <v>75</v>
      </c>
    </row>
    <row r="17" customFormat="false" ht="27.75" hidden="false" customHeight="true" outlineLevel="0" collapsed="false">
      <c r="A17" s="32" t="s">
        <v>65</v>
      </c>
      <c r="B17" s="32" t="s">
        <v>38</v>
      </c>
      <c r="C17" s="32" t="s">
        <v>76</v>
      </c>
      <c r="D17" s="32" t="s">
        <v>74</v>
      </c>
      <c r="E17" s="33" t="s">
        <v>35</v>
      </c>
      <c r="F17" s="34" t="n">
        <v>27858.6</v>
      </c>
      <c r="G17" s="27" t="n">
        <v>3.6725</v>
      </c>
      <c r="H17" s="28" t="n">
        <v>7585.73</v>
      </c>
      <c r="I17" s="29" t="n">
        <v>0.005</v>
      </c>
      <c r="J17" s="28" t="n">
        <v>-7623.85</v>
      </c>
      <c r="K17" s="30" t="n">
        <v>3891926.65</v>
      </c>
      <c r="L17" s="31" t="s">
        <v>77</v>
      </c>
    </row>
    <row r="18" customFormat="false" ht="27.75" hidden="false" customHeight="true" outlineLevel="0" collapsed="false">
      <c r="A18" s="32" t="s">
        <v>78</v>
      </c>
      <c r="B18" s="32" t="s">
        <v>38</v>
      </c>
      <c r="C18" s="32" t="s">
        <v>79</v>
      </c>
      <c r="D18" s="32" t="s">
        <v>80</v>
      </c>
      <c r="E18" s="33" t="s">
        <v>35</v>
      </c>
      <c r="F18" s="34" t="n">
        <v>283413.37</v>
      </c>
      <c r="G18" s="27" t="n">
        <v>3.6725</v>
      </c>
      <c r="H18" s="28" t="n">
        <v>77171.78</v>
      </c>
      <c r="I18" s="29" t="n">
        <v>0.005</v>
      </c>
      <c r="J18" s="28" t="n">
        <v>-77559.58</v>
      </c>
      <c r="K18" s="30" t="n">
        <v>3814367.07</v>
      </c>
      <c r="L18" s="31" t="s">
        <v>81</v>
      </c>
    </row>
    <row r="19" customFormat="false" ht="27.75" hidden="false" customHeight="true" outlineLevel="0" collapsed="false">
      <c r="A19" s="32" t="s">
        <v>78</v>
      </c>
      <c r="B19" s="32" t="s">
        <v>38</v>
      </c>
      <c r="C19" s="32" t="s">
        <v>82</v>
      </c>
      <c r="D19" s="32" t="s">
        <v>83</v>
      </c>
      <c r="E19" s="33" t="s">
        <v>35</v>
      </c>
      <c r="F19" s="34" t="n">
        <v>9082.5</v>
      </c>
      <c r="G19" s="27" t="n">
        <v>3.6725</v>
      </c>
      <c r="H19" s="28" t="n">
        <v>2473.11</v>
      </c>
      <c r="I19" s="29" t="n">
        <v>0.005</v>
      </c>
      <c r="J19" s="28" t="n">
        <v>-2485.54</v>
      </c>
      <c r="K19" s="30" t="n">
        <v>3811881.53</v>
      </c>
      <c r="L19" s="31" t="s">
        <v>84</v>
      </c>
    </row>
    <row r="20" customFormat="false" ht="27.75" hidden="false" customHeight="true" outlineLevel="0" collapsed="false">
      <c r="A20" s="32" t="s">
        <v>78</v>
      </c>
      <c r="B20" s="32" t="s">
        <v>38</v>
      </c>
      <c r="C20" s="32" t="s">
        <v>85</v>
      </c>
      <c r="D20" s="32" t="s">
        <v>83</v>
      </c>
      <c r="E20" s="33" t="s">
        <v>35</v>
      </c>
      <c r="F20" s="34" t="n">
        <v>4160</v>
      </c>
      <c r="G20" s="27" t="n">
        <v>3.6725</v>
      </c>
      <c r="H20" s="28" t="n">
        <v>1132.74</v>
      </c>
      <c r="I20" s="29" t="n">
        <v>0.005</v>
      </c>
      <c r="J20" s="28" t="n">
        <v>-1138.43</v>
      </c>
      <c r="K20" s="30" t="n">
        <v>3810743.1</v>
      </c>
      <c r="L20" s="31" t="s">
        <v>86</v>
      </c>
    </row>
    <row r="21" customFormat="false" ht="27.75" hidden="false" customHeight="true" outlineLevel="0" collapsed="false">
      <c r="A21" s="32" t="s">
        <v>87</v>
      </c>
      <c r="B21" s="32" t="s">
        <v>38</v>
      </c>
      <c r="C21" s="32" t="s">
        <v>88</v>
      </c>
      <c r="D21" s="32" t="s">
        <v>89</v>
      </c>
      <c r="E21" s="33" t="s">
        <v>35</v>
      </c>
      <c r="F21" s="34" t="n">
        <v>5000</v>
      </c>
      <c r="G21" s="27" t="n">
        <v>3.6725</v>
      </c>
      <c r="H21" s="28" t="n">
        <v>1361.47</v>
      </c>
      <c r="I21" s="29" t="n">
        <v>0.005</v>
      </c>
      <c r="J21" s="28" t="n">
        <v>-1368.31</v>
      </c>
      <c r="K21" s="30" t="n">
        <v>3809374.79</v>
      </c>
      <c r="L21" s="31" t="s">
        <v>90</v>
      </c>
    </row>
    <row r="22" customFormat="false" ht="27.75" hidden="false" customHeight="true" outlineLevel="0" collapsed="false">
      <c r="A22" s="32" t="s">
        <v>87</v>
      </c>
      <c r="B22" s="32" t="s">
        <v>38</v>
      </c>
      <c r="C22" s="32" t="s">
        <v>91</v>
      </c>
      <c r="D22" s="32" t="s">
        <v>92</v>
      </c>
      <c r="E22" s="33" t="s">
        <v>35</v>
      </c>
      <c r="F22" s="34" t="n">
        <v>2350</v>
      </c>
      <c r="G22" s="27" t="n">
        <v>3.6725</v>
      </c>
      <c r="H22" s="28" t="n">
        <v>639.89</v>
      </c>
      <c r="I22" s="29" t="n">
        <v>0.005</v>
      </c>
      <c r="J22" s="28" t="n">
        <v>-643.11</v>
      </c>
      <c r="K22" s="30" t="n">
        <v>3808731.68</v>
      </c>
      <c r="L22" s="31" t="s">
        <v>93</v>
      </c>
    </row>
    <row r="23" customFormat="false" ht="27.75" hidden="false" customHeight="true" outlineLevel="0" collapsed="false">
      <c r="A23" s="32" t="s">
        <v>87</v>
      </c>
      <c r="B23" s="32" t="s">
        <v>38</v>
      </c>
      <c r="C23" s="32" t="s">
        <v>94</v>
      </c>
      <c r="D23" s="32" t="s">
        <v>95</v>
      </c>
      <c r="E23" s="33" t="s">
        <v>96</v>
      </c>
      <c r="F23" s="34" t="n">
        <v>932.7</v>
      </c>
      <c r="G23" s="27" t="n">
        <v>1.2535</v>
      </c>
      <c r="H23" s="28" t="n">
        <v>744.08</v>
      </c>
      <c r="I23" s="29" t="n">
        <v>0.005</v>
      </c>
      <c r="J23" s="28" t="n">
        <v>-747.82</v>
      </c>
      <c r="K23" s="30" t="n">
        <v>3807983.86</v>
      </c>
      <c r="L23" s="31" t="s">
        <v>97</v>
      </c>
    </row>
    <row r="24" customFormat="false" ht="27.75" hidden="false" customHeight="true" outlineLevel="0" collapsed="false">
      <c r="A24" s="35" t="s">
        <v>87</v>
      </c>
      <c r="B24" s="35" t="s">
        <v>59</v>
      </c>
      <c r="C24" s="35" t="s">
        <v>98</v>
      </c>
      <c r="D24" s="35" t="s">
        <v>34</v>
      </c>
      <c r="E24" s="36" t="s">
        <v>96</v>
      </c>
      <c r="F24" s="37" t="n">
        <v>17000</v>
      </c>
      <c r="G24" s="27" t="n">
        <v>1.2535</v>
      </c>
      <c r="H24" s="28" t="n">
        <v>13562.03</v>
      </c>
      <c r="I24" s="29" t="n">
        <v>0.005</v>
      </c>
      <c r="J24" s="28" t="n">
        <v>-13630.18</v>
      </c>
      <c r="K24" s="30" t="n">
        <v>3794353.68</v>
      </c>
      <c r="L24" s="31" t="s">
        <v>99</v>
      </c>
    </row>
    <row r="25" customFormat="false" ht="27.75" hidden="false" customHeight="true" outlineLevel="0" collapsed="false">
      <c r="A25" s="32" t="s">
        <v>100</v>
      </c>
      <c r="B25" s="32" t="s">
        <v>38</v>
      </c>
      <c r="C25" s="32" t="s">
        <v>101</v>
      </c>
      <c r="D25" s="32" t="s">
        <v>102</v>
      </c>
      <c r="E25" s="33" t="s">
        <v>35</v>
      </c>
      <c r="F25" s="34" t="n">
        <v>2121212.17</v>
      </c>
      <c r="G25" s="27" t="n">
        <v>3.6725</v>
      </c>
      <c r="H25" s="28" t="n">
        <v>577593.51</v>
      </c>
      <c r="I25" s="29" t="n">
        <v>0.005</v>
      </c>
      <c r="J25" s="28" t="n">
        <v>-580495.99</v>
      </c>
      <c r="K25" s="30" t="n">
        <v>3213857.69</v>
      </c>
      <c r="L25" s="31" t="s">
        <v>103</v>
      </c>
    </row>
    <row r="26" customFormat="false" ht="27.75" hidden="false" customHeight="true" outlineLevel="0" collapsed="false">
      <c r="A26" s="38" t="s">
        <v>104</v>
      </c>
      <c r="B26" s="38" t="s">
        <v>105</v>
      </c>
      <c r="C26" s="38" t="s">
        <v>106</v>
      </c>
      <c r="D26" s="38" t="s">
        <v>34</v>
      </c>
      <c r="E26" s="39" t="s">
        <v>35</v>
      </c>
      <c r="F26" s="40" t="n">
        <v>90500</v>
      </c>
      <c r="G26" s="27" t="n">
        <v>3.6725</v>
      </c>
      <c r="H26" s="28" t="n">
        <v>24642.61</v>
      </c>
      <c r="I26" s="29" t="n">
        <v>0</v>
      </c>
      <c r="J26" s="28" t="n">
        <v>24642.61</v>
      </c>
      <c r="K26" s="30" t="n">
        <v>3238500.3</v>
      </c>
      <c r="L26" s="31" t="s">
        <v>107</v>
      </c>
    </row>
    <row r="27" customFormat="false" ht="27.75" hidden="false" customHeight="true" outlineLevel="0" collapsed="false">
      <c r="A27" s="35" t="s">
        <v>108</v>
      </c>
      <c r="B27" s="35" t="s">
        <v>59</v>
      </c>
      <c r="C27" s="35" t="s">
        <v>109</v>
      </c>
      <c r="D27" s="35" t="s">
        <v>34</v>
      </c>
      <c r="E27" s="36" t="s">
        <v>35</v>
      </c>
      <c r="F27" s="37" t="n">
        <v>2000000</v>
      </c>
      <c r="G27" s="27" t="n">
        <v>3.6725</v>
      </c>
      <c r="H27" s="28" t="n">
        <v>544588.16</v>
      </c>
      <c r="I27" s="29" t="n">
        <v>0.005</v>
      </c>
      <c r="J27" s="28" t="n">
        <v>-547324.78</v>
      </c>
      <c r="K27" s="30" t="n">
        <v>2691175.52</v>
      </c>
      <c r="L27" s="31" t="s">
        <v>110</v>
      </c>
    </row>
    <row r="28" customFormat="false" ht="27.75" hidden="false" customHeight="true" outlineLevel="0" collapsed="false">
      <c r="A28" s="32" t="s">
        <v>111</v>
      </c>
      <c r="B28" s="32" t="s">
        <v>38</v>
      </c>
      <c r="C28" s="32" t="s">
        <v>112</v>
      </c>
      <c r="D28" s="32" t="s">
        <v>83</v>
      </c>
      <c r="E28" s="33" t="s">
        <v>35</v>
      </c>
      <c r="F28" s="34" t="n">
        <v>55453.14</v>
      </c>
      <c r="G28" s="27" t="n">
        <v>3.6725</v>
      </c>
      <c r="H28" s="28" t="n">
        <v>15099.56</v>
      </c>
      <c r="I28" s="29" t="n">
        <v>0.005</v>
      </c>
      <c r="J28" s="28" t="n">
        <v>-15175.44</v>
      </c>
      <c r="K28" s="30" t="n">
        <v>2676000.08</v>
      </c>
      <c r="L28" s="31" t="s">
        <v>113</v>
      </c>
    </row>
    <row r="29" customFormat="false" ht="27.75" hidden="false" customHeight="true" outlineLevel="0" collapsed="false">
      <c r="A29" s="32" t="s">
        <v>114</v>
      </c>
      <c r="B29" s="32" t="s">
        <v>38</v>
      </c>
      <c r="C29" s="32" t="s">
        <v>115</v>
      </c>
      <c r="D29" s="32" t="s">
        <v>116</v>
      </c>
      <c r="E29" s="33" t="s">
        <v>41</v>
      </c>
      <c r="F29" s="34" t="n">
        <v>496460.13</v>
      </c>
      <c r="G29" s="27" t="n">
        <v>6.939</v>
      </c>
      <c r="H29" s="28" t="n">
        <v>71546.35</v>
      </c>
      <c r="I29" s="29" t="n">
        <v>0.005</v>
      </c>
      <c r="J29" s="28" t="n">
        <v>-71905.88</v>
      </c>
      <c r="K29" s="30" t="n">
        <v>2604094.2</v>
      </c>
      <c r="L29" s="31" t="s">
        <v>117</v>
      </c>
    </row>
    <row r="30" customFormat="false" ht="27.75" hidden="false" customHeight="true" outlineLevel="0" collapsed="false">
      <c r="A30" s="32" t="s">
        <v>114</v>
      </c>
      <c r="B30" s="32" t="s">
        <v>38</v>
      </c>
      <c r="C30" s="32" t="s">
        <v>118</v>
      </c>
      <c r="D30" s="32" t="s">
        <v>119</v>
      </c>
      <c r="E30" s="33" t="s">
        <v>120</v>
      </c>
      <c r="F30" s="34" t="n">
        <v>2330</v>
      </c>
      <c r="G30" s="27" t="n">
        <v>1</v>
      </c>
      <c r="H30" s="28" t="n">
        <v>2330</v>
      </c>
      <c r="I30" s="29" t="n">
        <v>0.005</v>
      </c>
      <c r="J30" s="28" t="n">
        <v>-2341.71</v>
      </c>
      <c r="K30" s="30" t="n">
        <v>2601752.49</v>
      </c>
      <c r="L30" s="31" t="s">
        <v>121</v>
      </c>
    </row>
    <row r="31" customFormat="false" ht="27.75" hidden="false" customHeight="true" outlineLevel="0" collapsed="false">
      <c r="A31" s="24" t="s">
        <v>122</v>
      </c>
      <c r="B31" s="24" t="s">
        <v>32</v>
      </c>
      <c r="C31" s="24" t="s">
        <v>123</v>
      </c>
      <c r="D31" s="24" t="s">
        <v>34</v>
      </c>
      <c r="E31" s="25" t="s">
        <v>41</v>
      </c>
      <c r="F31" s="26" t="n">
        <v>19500000</v>
      </c>
      <c r="G31" s="27" t="n">
        <v>6.9117</v>
      </c>
      <c r="H31" s="28" t="n">
        <v>2821303.01</v>
      </c>
      <c r="I31" s="29" t="n">
        <v>0</v>
      </c>
      <c r="J31" s="28" t="n">
        <v>2821303.01</v>
      </c>
      <c r="K31" s="30" t="n">
        <v>5423055.5</v>
      </c>
      <c r="L31" s="31" t="s">
        <v>124</v>
      </c>
    </row>
    <row r="32" customFormat="false" ht="27.75" hidden="false" customHeight="true" outlineLevel="0" collapsed="false">
      <c r="A32" s="35" t="s">
        <v>125</v>
      </c>
      <c r="B32" s="35" t="s">
        <v>59</v>
      </c>
      <c r="C32" s="35" t="s">
        <v>126</v>
      </c>
      <c r="D32" s="35" t="s">
        <v>34</v>
      </c>
      <c r="E32" s="36" t="s">
        <v>35</v>
      </c>
      <c r="F32" s="37" t="n">
        <v>4000000</v>
      </c>
      <c r="G32" s="27" t="n">
        <v>3.6725</v>
      </c>
      <c r="H32" s="28" t="n">
        <v>1089176.31</v>
      </c>
      <c r="I32" s="29" t="n">
        <v>0.005</v>
      </c>
      <c r="J32" s="28" t="n">
        <v>-1094649.56</v>
      </c>
      <c r="K32" s="30" t="n">
        <v>4328405.94</v>
      </c>
      <c r="L32" s="31" t="s">
        <v>127</v>
      </c>
    </row>
    <row r="33" customFormat="false" ht="27.75" hidden="false" customHeight="true" outlineLevel="0" collapsed="false">
      <c r="A33" s="32" t="s">
        <v>128</v>
      </c>
      <c r="B33" s="32" t="s">
        <v>38</v>
      </c>
      <c r="C33" s="32" t="s">
        <v>129</v>
      </c>
      <c r="D33" s="32" t="s">
        <v>95</v>
      </c>
      <c r="E33" s="33" t="s">
        <v>96</v>
      </c>
      <c r="F33" s="34" t="n">
        <v>8596.35</v>
      </c>
      <c r="G33" s="27" t="n">
        <v>1.2337</v>
      </c>
      <c r="H33" s="28" t="n">
        <v>6967.94</v>
      </c>
      <c r="I33" s="29" t="n">
        <v>0.005</v>
      </c>
      <c r="J33" s="28" t="n">
        <v>-7002.95</v>
      </c>
      <c r="K33" s="30" t="n">
        <v>4321402.99</v>
      </c>
      <c r="L33" s="31" t="s">
        <v>130</v>
      </c>
    </row>
    <row r="34" customFormat="false" ht="27.75" hidden="false" customHeight="true" outlineLevel="0" collapsed="false">
      <c r="A34" s="32" t="s">
        <v>128</v>
      </c>
      <c r="B34" s="32" t="s">
        <v>38</v>
      </c>
      <c r="C34" s="32" t="s">
        <v>131</v>
      </c>
      <c r="D34" s="32" t="s">
        <v>132</v>
      </c>
      <c r="E34" s="33" t="s">
        <v>133</v>
      </c>
      <c r="F34" s="34" t="n">
        <v>2800</v>
      </c>
      <c r="G34" s="27" t="n">
        <v>0.8434</v>
      </c>
      <c r="H34" s="28" t="n">
        <v>3319.9</v>
      </c>
      <c r="I34" s="29" t="n">
        <v>0.005</v>
      </c>
      <c r="J34" s="28" t="n">
        <v>-3336.58</v>
      </c>
      <c r="K34" s="30" t="n">
        <v>4318066.41</v>
      </c>
      <c r="L34" s="31" t="s">
        <v>134</v>
      </c>
    </row>
    <row r="35" customFormat="false" ht="27.75" hidden="false" customHeight="true" outlineLevel="0" collapsed="false">
      <c r="A35" s="35" t="s">
        <v>128</v>
      </c>
      <c r="B35" s="35" t="s">
        <v>59</v>
      </c>
      <c r="C35" s="35" t="s">
        <v>135</v>
      </c>
      <c r="D35" s="35" t="s">
        <v>136</v>
      </c>
      <c r="E35" s="36" t="s">
        <v>137</v>
      </c>
      <c r="F35" s="37" t="n">
        <v>1178000</v>
      </c>
      <c r="G35" s="27" t="n">
        <v>90.63</v>
      </c>
      <c r="H35" s="28" t="n">
        <v>12997.9</v>
      </c>
      <c r="I35" s="29" t="n">
        <v>0.005</v>
      </c>
      <c r="J35" s="28" t="n">
        <v>-13063.22</v>
      </c>
      <c r="K35" s="30" t="n">
        <v>4305003.19</v>
      </c>
      <c r="L35" s="31" t="s">
        <v>138</v>
      </c>
    </row>
    <row r="36" customFormat="false" ht="27.75" hidden="false" customHeight="true" outlineLevel="0" collapsed="false">
      <c r="A36" s="35" t="s">
        <v>128</v>
      </c>
      <c r="B36" s="35" t="s">
        <v>59</v>
      </c>
      <c r="C36" s="35" t="s">
        <v>139</v>
      </c>
      <c r="D36" s="35" t="s">
        <v>140</v>
      </c>
      <c r="E36" s="36" t="s">
        <v>133</v>
      </c>
      <c r="F36" s="37" t="n">
        <v>100000</v>
      </c>
      <c r="G36" s="27" t="n">
        <v>0.8354</v>
      </c>
      <c r="H36" s="28" t="n">
        <v>119703.14</v>
      </c>
      <c r="I36" s="29" t="n">
        <v>0.005</v>
      </c>
      <c r="J36" s="28" t="n">
        <v>-120304.66</v>
      </c>
      <c r="K36" s="30" t="n">
        <v>4184698.53</v>
      </c>
      <c r="L36" s="31" t="s">
        <v>138</v>
      </c>
    </row>
    <row r="37" customFormat="false" ht="27.75" hidden="false" customHeight="true" outlineLevel="0" collapsed="false">
      <c r="A37" s="38" t="s">
        <v>141</v>
      </c>
      <c r="B37" s="38" t="s">
        <v>105</v>
      </c>
      <c r="C37" s="38" t="s">
        <v>142</v>
      </c>
      <c r="D37" s="38" t="s">
        <v>34</v>
      </c>
      <c r="E37" s="39" t="s">
        <v>120</v>
      </c>
      <c r="F37" s="40" t="n">
        <v>50000</v>
      </c>
      <c r="G37" s="27" t="n">
        <v>1</v>
      </c>
      <c r="H37" s="28" t="n">
        <v>50000</v>
      </c>
      <c r="I37" s="29" t="n">
        <v>0</v>
      </c>
      <c r="J37" s="28" t="n">
        <v>50000</v>
      </c>
      <c r="K37" s="30" t="n">
        <v>4234698.53</v>
      </c>
      <c r="L37" s="31" t="s">
        <v>143</v>
      </c>
    </row>
    <row r="38" customFormat="false" ht="27.75" hidden="false" customHeight="true" outlineLevel="0" collapsed="false">
      <c r="A38" s="32" t="s">
        <v>144</v>
      </c>
      <c r="B38" s="32" t="s">
        <v>38</v>
      </c>
      <c r="C38" s="32" t="s">
        <v>145</v>
      </c>
      <c r="D38" s="32" t="s">
        <v>146</v>
      </c>
      <c r="E38" s="33" t="s">
        <v>35</v>
      </c>
      <c r="F38" s="34" t="n">
        <v>86520</v>
      </c>
      <c r="G38" s="27" t="n">
        <v>3.6725</v>
      </c>
      <c r="H38" s="28" t="n">
        <v>23558.88</v>
      </c>
      <c r="I38" s="29" t="n">
        <v>0.005</v>
      </c>
      <c r="J38" s="28" t="n">
        <v>-23677.27</v>
      </c>
      <c r="K38" s="30" t="n">
        <v>4211021.26</v>
      </c>
      <c r="L38" s="31" t="s">
        <v>147</v>
      </c>
    </row>
    <row r="39" customFormat="false" ht="27.75" hidden="false" customHeight="true" outlineLevel="0" collapsed="false">
      <c r="A39" s="32" t="s">
        <v>144</v>
      </c>
      <c r="B39" s="32" t="s">
        <v>38</v>
      </c>
      <c r="C39" s="32" t="s">
        <v>148</v>
      </c>
      <c r="D39" s="32" t="s">
        <v>146</v>
      </c>
      <c r="E39" s="33" t="s">
        <v>35</v>
      </c>
      <c r="F39" s="34" t="n">
        <v>66412.5</v>
      </c>
      <c r="G39" s="27" t="n">
        <v>3.6725</v>
      </c>
      <c r="H39" s="28" t="n">
        <v>18083.73</v>
      </c>
      <c r="I39" s="29" t="n">
        <v>0.005</v>
      </c>
      <c r="J39" s="28" t="n">
        <v>-18174.6</v>
      </c>
      <c r="K39" s="30" t="n">
        <v>4192846.66</v>
      </c>
      <c r="L39" s="31" t="s">
        <v>149</v>
      </c>
    </row>
    <row r="40" customFormat="false" ht="27.75" hidden="false" customHeight="true" outlineLevel="0" collapsed="false">
      <c r="A40" s="32" t="s">
        <v>144</v>
      </c>
      <c r="B40" s="32" t="s">
        <v>38</v>
      </c>
      <c r="C40" s="32" t="s">
        <v>150</v>
      </c>
      <c r="D40" s="32" t="s">
        <v>146</v>
      </c>
      <c r="E40" s="33" t="s">
        <v>35</v>
      </c>
      <c r="F40" s="34" t="n">
        <v>13650</v>
      </c>
      <c r="G40" s="27" t="n">
        <v>3.6725</v>
      </c>
      <c r="H40" s="28" t="n">
        <v>3716.81</v>
      </c>
      <c r="I40" s="29" t="n">
        <v>0.005</v>
      </c>
      <c r="J40" s="28" t="n">
        <v>-3735.49</v>
      </c>
      <c r="K40" s="30" t="n">
        <v>4189111.17</v>
      </c>
      <c r="L40" s="31" t="s">
        <v>151</v>
      </c>
    </row>
    <row r="41" customFormat="false" ht="27.75" hidden="false" customHeight="true" outlineLevel="0" collapsed="false">
      <c r="A41" s="38" t="s">
        <v>144</v>
      </c>
      <c r="B41" s="38" t="s">
        <v>105</v>
      </c>
      <c r="C41" s="38" t="s">
        <v>152</v>
      </c>
      <c r="D41" s="38" t="s">
        <v>153</v>
      </c>
      <c r="E41" s="39" t="s">
        <v>120</v>
      </c>
      <c r="F41" s="40" t="n">
        <v>150000</v>
      </c>
      <c r="G41" s="27" t="n">
        <v>1</v>
      </c>
      <c r="H41" s="28" t="n">
        <v>150000</v>
      </c>
      <c r="I41" s="29" t="n">
        <v>0</v>
      </c>
      <c r="J41" s="28" t="n">
        <v>150000</v>
      </c>
      <c r="K41" s="30" t="n">
        <v>4339111.17</v>
      </c>
      <c r="L41" s="31" t="s">
        <v>154</v>
      </c>
    </row>
    <row r="42" customFormat="false" ht="27.75" hidden="false" customHeight="true" outlineLevel="0" collapsed="false">
      <c r="A42" s="32" t="s">
        <v>155</v>
      </c>
      <c r="B42" s="32" t="s">
        <v>38</v>
      </c>
      <c r="C42" s="32" t="s">
        <v>156</v>
      </c>
      <c r="D42" s="32" t="s">
        <v>80</v>
      </c>
      <c r="E42" s="33" t="s">
        <v>35</v>
      </c>
      <c r="F42" s="34" t="n">
        <v>13865.24</v>
      </c>
      <c r="G42" s="27" t="n">
        <v>3.6725</v>
      </c>
      <c r="H42" s="28" t="n">
        <v>3775.42</v>
      </c>
      <c r="I42" s="29" t="n">
        <v>0.005</v>
      </c>
      <c r="J42" s="28" t="n">
        <v>-3794.39</v>
      </c>
      <c r="K42" s="30" t="n">
        <v>4335316.78</v>
      </c>
      <c r="L42" s="31" t="s">
        <v>157</v>
      </c>
    </row>
    <row r="43" customFormat="false" ht="27.75" hidden="false" customHeight="true" outlineLevel="0" collapsed="false">
      <c r="A43" s="32" t="s">
        <v>155</v>
      </c>
      <c r="B43" s="32" t="s">
        <v>38</v>
      </c>
      <c r="C43" s="32" t="s">
        <v>158</v>
      </c>
      <c r="D43" s="32" t="s">
        <v>159</v>
      </c>
      <c r="E43" s="33" t="s">
        <v>35</v>
      </c>
      <c r="F43" s="34" t="n">
        <v>19502.1</v>
      </c>
      <c r="G43" s="27" t="n">
        <v>3.6725</v>
      </c>
      <c r="H43" s="28" t="n">
        <v>5310.31</v>
      </c>
      <c r="I43" s="29" t="n">
        <v>0.005</v>
      </c>
      <c r="J43" s="28" t="n">
        <v>-5336.99</v>
      </c>
      <c r="K43" s="30" t="n">
        <v>4329979.79</v>
      </c>
      <c r="L43" s="31" t="s">
        <v>160</v>
      </c>
    </row>
    <row r="44" customFormat="false" ht="27.75" hidden="false" customHeight="true" outlineLevel="0" collapsed="false">
      <c r="A44" s="32"/>
      <c r="B44" s="32"/>
      <c r="C44" s="32"/>
      <c r="D44" s="32"/>
      <c r="E44" s="33"/>
      <c r="F44" s="34"/>
      <c r="G44" s="27" t="str">
        <f aca="false">IF(E46="","",IFERROR(VLOOKUP(E46,Settings!$A$7:$B$17,2,FALSE()),1))</f>
        <v/>
      </c>
      <c r="H44" s="28" t="str">
        <f aca="false">IF(OR(F46="",G46=""),"",F46/G46)</f>
        <v/>
      </c>
      <c r="I44" s="29" t="str">
        <f aca="false">IF(B46="","",IFERROR(VLOOKUP(B46,Settings!$E$19:$F$23,2,FALSE()),0))</f>
        <v/>
      </c>
      <c r="J44" s="28" t="str">
        <f aca="false">IF(H46="","",IF(OR(B46="Deposit",B46="Cash In"),H46,-(H46/MAX(1-I46,0.0001))))</f>
        <v/>
      </c>
      <c r="K44" s="30" t="str">
        <f aca="false">IF(J46="","",IF(ISNUMBER(K45),K45,Settings!$C$4)+J46)</f>
        <v/>
      </c>
      <c r="L44" s="31"/>
    </row>
    <row r="45" customFormat="false" ht="27.75" hidden="false" customHeight="true" outlineLevel="0" collapsed="false">
      <c r="A45" s="32"/>
      <c r="B45" s="32"/>
      <c r="C45" s="32"/>
      <c r="D45" s="32"/>
      <c r="E45" s="33"/>
      <c r="F45" s="34"/>
      <c r="G45" s="27" t="str">
        <f aca="false">IF(E47="","",IFERROR(VLOOKUP(E47,Settings!$A$7:$B$17,2,FALSE()),1))</f>
        <v/>
      </c>
      <c r="H45" s="28" t="str">
        <f aca="false">IF(OR(F47="",G47=""),"",F47/G47)</f>
        <v/>
      </c>
      <c r="I45" s="29" t="str">
        <f aca="false">IF(B47="","",IFERROR(VLOOKUP(B47,Settings!$E$19:$F$23,2,FALSE()),0))</f>
        <v/>
      </c>
      <c r="J45" s="28" t="str">
        <f aca="false">IF(H47="","",IF(OR(B47="Deposit",B47="Cash In"),H47,-(H47/MAX(1-I47,0.0001))))</f>
        <v/>
      </c>
      <c r="K45" s="30" t="str">
        <f aca="false">IF(J47="","",IF(ISNUMBER(K46),K46,Settings!$C$4)+J47)</f>
        <v/>
      </c>
      <c r="L45" s="31"/>
    </row>
    <row r="46" customFormat="false" ht="27.75" hidden="false" customHeight="true" outlineLevel="0" collapsed="false">
      <c r="A46" s="32"/>
      <c r="B46" s="32"/>
      <c r="C46" s="32"/>
      <c r="D46" s="32"/>
      <c r="E46" s="33"/>
      <c r="F46" s="34"/>
      <c r="G46" s="27" t="str">
        <f aca="false">IF(E48="","",IFERROR(VLOOKUP(E48,Settings!$A$7:$B$17,2,FALSE()),1))</f>
        <v/>
      </c>
      <c r="H46" s="28" t="str">
        <f aca="false">IF(OR(F48="",G48=""),"",F48/G48)</f>
        <v/>
      </c>
      <c r="I46" s="29" t="str">
        <f aca="false">IF(B48="","",IFERROR(VLOOKUP(B48,Settings!$E$19:$F$23,2,FALSE()),0))</f>
        <v/>
      </c>
      <c r="J46" s="28" t="str">
        <f aca="false">IF(H48="","",IF(OR(B48="Deposit",B48="Cash In"),H48,-(H48/MAX(1-I48,0.0001))))</f>
        <v/>
      </c>
      <c r="K46" s="30" t="str">
        <f aca="false">IF(J48="","",IF(ISNUMBER(K47),K47,Settings!$C$4)+J48)</f>
        <v/>
      </c>
      <c r="L46" s="31"/>
    </row>
    <row r="47" customFormat="false" ht="27.75" hidden="false" customHeight="true" outlineLevel="0" collapsed="false">
      <c r="A47" s="32"/>
      <c r="B47" s="32"/>
      <c r="C47" s="32"/>
      <c r="D47" s="32"/>
      <c r="E47" s="33"/>
      <c r="F47" s="34"/>
      <c r="G47" s="27" t="str">
        <f aca="false">IF(E49="","",IFERROR(VLOOKUP(E49,Settings!$A$7:$B$17,2,FALSE()),1))</f>
        <v/>
      </c>
      <c r="H47" s="28" t="str">
        <f aca="false">IF(OR(F49="",G49=""),"",F49/G49)</f>
        <v/>
      </c>
      <c r="I47" s="29" t="str">
        <f aca="false">IF(B49="","",IFERROR(VLOOKUP(B49,Settings!$E$19:$F$23,2,FALSE()),0))</f>
        <v/>
      </c>
      <c r="J47" s="28" t="str">
        <f aca="false">IF(H49="","",IF(OR(B49="Deposit",B49="Cash In"),H49,-(H49/MAX(1-I49,0.0001))))</f>
        <v/>
      </c>
      <c r="K47" s="30" t="str">
        <f aca="false">IF(J49="","",IF(ISNUMBER(K48),K48,Settings!$C$4)+J49)</f>
        <v/>
      </c>
      <c r="L47" s="31"/>
    </row>
    <row r="48" customFormat="false" ht="27.75" hidden="false" customHeight="true" outlineLevel="0" collapsed="false">
      <c r="A48" s="32"/>
      <c r="B48" s="32"/>
      <c r="C48" s="32"/>
      <c r="D48" s="32"/>
      <c r="E48" s="33"/>
      <c r="F48" s="34"/>
      <c r="G48" s="27" t="str">
        <f aca="false">IF(E50="","",IFERROR(VLOOKUP(E50,Settings!$A$7:$B$17,2,FALSE()),1))</f>
        <v/>
      </c>
      <c r="H48" s="28" t="str">
        <f aca="false">IF(OR(F50="",G50=""),"",F50/G50)</f>
        <v/>
      </c>
      <c r="I48" s="29" t="str">
        <f aca="false">IF(B50="","",IFERROR(VLOOKUP(B50,Settings!$E$19:$F$23,2,FALSE()),0))</f>
        <v/>
      </c>
      <c r="J48" s="28" t="str">
        <f aca="false">IF(H50="","",IF(OR(B50="Deposit",B50="Cash In"),H50,-(H50/MAX(1-I50,0.0001))))</f>
        <v/>
      </c>
      <c r="K48" s="30" t="str">
        <f aca="false">IF(J50="","",IF(ISNUMBER(K49),K49,Settings!$C$4)+J50)</f>
        <v/>
      </c>
      <c r="L48" s="31"/>
    </row>
    <row r="49" customFormat="false" ht="27.75" hidden="false" customHeight="true" outlineLevel="0" collapsed="false">
      <c r="A49" s="32"/>
      <c r="B49" s="32"/>
      <c r="C49" s="32"/>
      <c r="D49" s="32"/>
      <c r="E49" s="33"/>
      <c r="F49" s="34"/>
      <c r="G49" s="27" t="str">
        <f aca="false">IF(E51="","",IFERROR(VLOOKUP(E51,Settings!$A$7:$B$17,2,FALSE()),1))</f>
        <v/>
      </c>
      <c r="H49" s="28" t="str">
        <f aca="false">IF(OR(F51="",G51=""),"",F51/G51)</f>
        <v/>
      </c>
      <c r="I49" s="29" t="str">
        <f aca="false">IF(B51="","",IFERROR(VLOOKUP(B51,Settings!$E$19:$F$23,2,FALSE()),0))</f>
        <v/>
      </c>
      <c r="J49" s="28" t="str">
        <f aca="false">IF(H51="","",IF(OR(B51="Deposit",B51="Cash In"),H51,-(H51/MAX(1-I51,0.0001))))</f>
        <v/>
      </c>
      <c r="K49" s="30" t="str">
        <f aca="false">IF(J51="","",IF(ISNUMBER(K50),K50,Settings!$C$4)+J51)</f>
        <v/>
      </c>
      <c r="L49" s="31"/>
    </row>
    <row r="50" customFormat="false" ht="27.75" hidden="false" customHeight="true" outlineLevel="0" collapsed="false">
      <c r="A50" s="32"/>
      <c r="B50" s="32"/>
      <c r="C50" s="32"/>
      <c r="D50" s="32"/>
      <c r="E50" s="33"/>
      <c r="F50" s="34"/>
      <c r="G50" s="27" t="str">
        <f aca="false">IF(E52="","",IFERROR(VLOOKUP(E52,Settings!$A$7:$B$17,2,FALSE()),1))</f>
        <v/>
      </c>
      <c r="H50" s="28" t="str">
        <f aca="false">IF(OR(F52="",G52=""),"",F52/G52)</f>
        <v/>
      </c>
      <c r="I50" s="29" t="str">
        <f aca="false">IF(B52="","",IFERROR(VLOOKUP(B52,Settings!$E$19:$F$23,2,FALSE()),0))</f>
        <v/>
      </c>
      <c r="J50" s="28" t="str">
        <f aca="false">IF(H52="","",IF(OR(B52="Deposit",B52="Cash In"),H52,-(H52/MAX(1-I52,0.0001))))</f>
        <v/>
      </c>
      <c r="K50" s="30" t="str">
        <f aca="false">IF(J52="","",IF(ISNUMBER(K51),K51,Settings!$C$4)+J52)</f>
        <v/>
      </c>
      <c r="L50" s="31"/>
    </row>
    <row r="51" customFormat="false" ht="27.75" hidden="false" customHeight="true" outlineLevel="0" collapsed="false">
      <c r="A51" s="32"/>
      <c r="B51" s="32"/>
      <c r="C51" s="32"/>
      <c r="D51" s="32"/>
      <c r="E51" s="33"/>
      <c r="F51" s="34"/>
      <c r="G51" s="27" t="str">
        <f aca="false">IF(E53="","",IFERROR(VLOOKUP(E53,Settings!$A$7:$B$17,2,FALSE()),1))</f>
        <v/>
      </c>
      <c r="H51" s="28" t="str">
        <f aca="false">IF(OR(F53="",G53=""),"",F53/G53)</f>
        <v/>
      </c>
      <c r="I51" s="29" t="str">
        <f aca="false">IF(B53="","",IFERROR(VLOOKUP(B53,Settings!$E$19:$F$23,2,FALSE()),0))</f>
        <v/>
      </c>
      <c r="J51" s="28" t="str">
        <f aca="false">IF(H53="","",IF(OR(B53="Deposit",B53="Cash In"),H53,-(H53/MAX(1-I53,0.0001))))</f>
        <v/>
      </c>
      <c r="K51" s="30" t="str">
        <f aca="false">IF(J53="","",IF(ISNUMBER(K52),K52,Settings!$C$4)+J53)</f>
        <v/>
      </c>
      <c r="L51" s="31"/>
    </row>
    <row r="52" customFormat="false" ht="27.75" hidden="false" customHeight="true" outlineLevel="0" collapsed="false">
      <c r="A52" s="32"/>
      <c r="B52" s="32"/>
      <c r="C52" s="32"/>
      <c r="D52" s="32"/>
      <c r="E52" s="33"/>
      <c r="F52" s="34"/>
      <c r="G52" s="27" t="str">
        <f aca="false">IF(E54="","",IFERROR(VLOOKUP(E54,Settings!$A$7:$B$17,2,FALSE()),1))</f>
        <v/>
      </c>
      <c r="H52" s="28" t="str">
        <f aca="false">IF(OR(F54="",G54=""),"",F54/G54)</f>
        <v/>
      </c>
      <c r="I52" s="29" t="str">
        <f aca="false">IF(B54="","",IFERROR(VLOOKUP(B54,Settings!$E$19:$F$23,2,FALSE()),0))</f>
        <v/>
      </c>
      <c r="J52" s="28" t="str">
        <f aca="false">IF(H54="","",IF(OR(B54="Deposit",B54="Cash In"),H54,-(H54/MAX(1-I54,0.0001))))</f>
        <v/>
      </c>
      <c r="K52" s="30" t="str">
        <f aca="false">IF(J54="","",IF(ISNUMBER(K53),K53,Settings!$C$4)+J54)</f>
        <v/>
      </c>
      <c r="L52" s="31"/>
    </row>
    <row r="53" customFormat="false" ht="27.75" hidden="false" customHeight="true" outlineLevel="0" collapsed="false">
      <c r="A53" s="32"/>
      <c r="B53" s="32"/>
      <c r="C53" s="32"/>
      <c r="D53" s="32"/>
      <c r="E53" s="33"/>
      <c r="F53" s="34"/>
      <c r="G53" s="27" t="str">
        <f aca="false">IF(E55="","",IFERROR(VLOOKUP(E55,Settings!$A$7:$B$17,2,FALSE()),1))</f>
        <v/>
      </c>
      <c r="H53" s="28" t="str">
        <f aca="false">IF(OR(F55="",G55=""),"",F55/G55)</f>
        <v/>
      </c>
      <c r="I53" s="29" t="str">
        <f aca="false">IF(B55="","",IFERROR(VLOOKUP(B55,Settings!$E$19:$F$23,2,FALSE()),0))</f>
        <v/>
      </c>
      <c r="J53" s="28" t="str">
        <f aca="false">IF(H55="","",IF(OR(B55="Deposit",B55="Cash In"),H55,-(H55/MAX(1-I55,0.0001))))</f>
        <v/>
      </c>
      <c r="K53" s="30" t="str">
        <f aca="false">IF(J55="","",IF(ISNUMBER(K54),K54,Settings!$C$4)+J55)</f>
        <v/>
      </c>
      <c r="L53" s="31"/>
    </row>
    <row r="54" customFormat="false" ht="27.75" hidden="false" customHeight="true" outlineLevel="0" collapsed="false">
      <c r="A54" s="32"/>
      <c r="B54" s="32"/>
      <c r="C54" s="32"/>
      <c r="D54" s="32"/>
      <c r="E54" s="33"/>
      <c r="F54" s="34"/>
      <c r="G54" s="27" t="str">
        <f aca="false">IF(E56="","",IFERROR(VLOOKUP(E56,Settings!$A$7:$B$17,2,FALSE()),1))</f>
        <v/>
      </c>
      <c r="H54" s="28" t="str">
        <f aca="false">IF(OR(F56="",G56=""),"",F56/G56)</f>
        <v/>
      </c>
      <c r="I54" s="29" t="str">
        <f aca="false">IF(B56="","",IFERROR(VLOOKUP(B56,Settings!$E$19:$F$23,2,FALSE()),0))</f>
        <v/>
      </c>
      <c r="J54" s="28" t="str">
        <f aca="false">IF(H56="","",IF(OR(B56="Deposit",B56="Cash In"),H56,-(H56/MAX(1-I56,0.0001))))</f>
        <v/>
      </c>
      <c r="K54" s="30" t="str">
        <f aca="false">IF(J56="","",IF(ISNUMBER(K55),K55,Settings!$C$4)+J56)</f>
        <v/>
      </c>
      <c r="L54" s="31"/>
    </row>
    <row r="55" customFormat="false" ht="27.75" hidden="false" customHeight="true" outlineLevel="0" collapsed="false">
      <c r="A55" s="32"/>
      <c r="B55" s="32"/>
      <c r="C55" s="32"/>
      <c r="D55" s="32"/>
      <c r="E55" s="33"/>
      <c r="F55" s="34"/>
      <c r="G55" s="27" t="str">
        <f aca="false">IF(E57="","",IFERROR(VLOOKUP(E57,Settings!$A$7:$B$17,2,FALSE()),1))</f>
        <v/>
      </c>
      <c r="H55" s="28" t="str">
        <f aca="false">IF(OR(F57="",G57=""),"",F57/G57)</f>
        <v/>
      </c>
      <c r="I55" s="29" t="str">
        <f aca="false">IF(B57="","",IFERROR(VLOOKUP(B57,Settings!$E$19:$F$23,2,FALSE()),0))</f>
        <v/>
      </c>
      <c r="J55" s="28" t="str">
        <f aca="false">IF(H57="","",IF(OR(B57="Deposit",B57="Cash In"),H57,-(H57/MAX(1-I57,0.0001))))</f>
        <v/>
      </c>
      <c r="K55" s="30" t="str">
        <f aca="false">IF(J57="","",IF(ISNUMBER(K56),K56,Settings!$C$4)+J57)</f>
        <v/>
      </c>
      <c r="L55" s="31"/>
    </row>
    <row r="56" customFormat="false" ht="27.75" hidden="false" customHeight="true" outlineLevel="0" collapsed="false">
      <c r="A56" s="32"/>
      <c r="B56" s="32"/>
      <c r="C56" s="32"/>
      <c r="D56" s="32"/>
      <c r="E56" s="33"/>
      <c r="F56" s="34"/>
      <c r="G56" s="27" t="str">
        <f aca="false">IF(E58="","",IFERROR(VLOOKUP(E58,Settings!$A$7:$B$17,2,FALSE()),1))</f>
        <v/>
      </c>
      <c r="H56" s="28" t="str">
        <f aca="false">IF(OR(F58="",G58=""),"",F58/G58)</f>
        <v/>
      </c>
      <c r="I56" s="29" t="str">
        <f aca="false">IF(B58="","",IFERROR(VLOOKUP(B58,Settings!$E$19:$F$23,2,FALSE()),0))</f>
        <v/>
      </c>
      <c r="J56" s="28" t="str">
        <f aca="false">IF(H58="","",IF(OR(B58="Deposit",B58="Cash In"),H58,-(H58/MAX(1-I58,0.0001))))</f>
        <v/>
      </c>
      <c r="K56" s="30" t="str">
        <f aca="false">IF(J58="","",IF(ISNUMBER(K57),K57,Settings!$C$4)+J58)</f>
        <v/>
      </c>
      <c r="L56" s="31"/>
    </row>
    <row r="57" customFormat="false" ht="27.75" hidden="false" customHeight="true" outlineLevel="0" collapsed="false">
      <c r="A57" s="32"/>
      <c r="B57" s="32"/>
      <c r="C57" s="32"/>
      <c r="D57" s="32"/>
      <c r="E57" s="33"/>
      <c r="F57" s="34"/>
      <c r="G57" s="27" t="str">
        <f aca="false">IF(E59="","",IFERROR(VLOOKUP(E59,Settings!$A$7:$B$17,2,FALSE()),1))</f>
        <v/>
      </c>
      <c r="H57" s="28" t="str">
        <f aca="false">IF(OR(F59="",G59=""),"",F59/G59)</f>
        <v/>
      </c>
      <c r="I57" s="29" t="str">
        <f aca="false">IF(B59="","",IFERROR(VLOOKUP(B59,Settings!$E$19:$F$23,2,FALSE()),0))</f>
        <v/>
      </c>
      <c r="J57" s="28" t="str">
        <f aca="false">IF(H59="","",IF(OR(B59="Deposit",B59="Cash In"),H59,-(H59/MAX(1-I59,0.0001))))</f>
        <v/>
      </c>
      <c r="K57" s="30" t="str">
        <f aca="false">IF(J59="","",IF(ISNUMBER(K58),K58,Settings!$C$4)+J59)</f>
        <v/>
      </c>
      <c r="L57" s="31"/>
    </row>
    <row r="58" customFormat="false" ht="27.75" hidden="false" customHeight="true" outlineLevel="0" collapsed="false">
      <c r="A58" s="32"/>
      <c r="B58" s="32"/>
      <c r="C58" s="32"/>
      <c r="D58" s="32"/>
      <c r="E58" s="33"/>
      <c r="F58" s="34"/>
      <c r="G58" s="27" t="str">
        <f aca="false">IF(E60="","",IFERROR(VLOOKUP(E60,Settings!$A$7:$B$17,2,FALSE()),1))</f>
        <v/>
      </c>
      <c r="H58" s="28" t="str">
        <f aca="false">IF(OR(F60="",G60=""),"",F60/G60)</f>
        <v/>
      </c>
      <c r="I58" s="29" t="str">
        <f aca="false">IF(B60="","",IFERROR(VLOOKUP(B60,Settings!$E$19:$F$23,2,FALSE()),0))</f>
        <v/>
      </c>
      <c r="J58" s="28" t="str">
        <f aca="false">IF(H60="","",IF(OR(B60="Deposit",B60="Cash In"),H60,-(H60/MAX(1-I60,0.0001))))</f>
        <v/>
      </c>
      <c r="K58" s="30" t="str">
        <f aca="false">IF(J60="","",IF(ISNUMBER(K59),K59,Settings!$C$4)+J60)</f>
        <v/>
      </c>
      <c r="L58" s="31"/>
    </row>
    <row r="59" customFormat="false" ht="27.75" hidden="false" customHeight="true" outlineLevel="0" collapsed="false">
      <c r="A59" s="32"/>
      <c r="B59" s="32"/>
      <c r="C59" s="32"/>
      <c r="D59" s="32"/>
      <c r="E59" s="33"/>
      <c r="F59" s="34"/>
      <c r="G59" s="27" t="str">
        <f aca="false">IF(E61="","",IFERROR(VLOOKUP(E61,Settings!$A$7:$B$17,2,FALSE()),1))</f>
        <v/>
      </c>
      <c r="H59" s="28" t="str">
        <f aca="false">IF(OR(F61="",G61=""),"",F61/G61)</f>
        <v/>
      </c>
      <c r="I59" s="29" t="str">
        <f aca="false">IF(B61="","",IFERROR(VLOOKUP(B61,Settings!$E$19:$F$23,2,FALSE()),0))</f>
        <v/>
      </c>
      <c r="J59" s="28" t="str">
        <f aca="false">IF(H61="","",IF(OR(B61="Deposit",B61="Cash In"),H61,-(H61/MAX(1-I61,0.0001))))</f>
        <v/>
      </c>
      <c r="K59" s="30" t="str">
        <f aca="false">IF(J61="","",IF(ISNUMBER(K60),K60,Settings!$C$4)+J61)</f>
        <v/>
      </c>
      <c r="L59" s="31"/>
    </row>
    <row r="60" customFormat="false" ht="27.75" hidden="false" customHeight="true" outlineLevel="0" collapsed="false">
      <c r="A60" s="32"/>
      <c r="B60" s="32"/>
      <c r="C60" s="32"/>
      <c r="D60" s="32"/>
      <c r="E60" s="33"/>
      <c r="F60" s="34"/>
      <c r="G60" s="27" t="str">
        <f aca="false">IF(E62="","",IFERROR(VLOOKUP(E62,Settings!$A$7:$B$17,2,FALSE()),1))</f>
        <v/>
      </c>
      <c r="H60" s="28" t="str">
        <f aca="false">IF(OR(F62="",G62=""),"",F62/G62)</f>
        <v/>
      </c>
      <c r="I60" s="29" t="str">
        <f aca="false">IF(B62="","",IFERROR(VLOOKUP(B62,Settings!$E$19:$F$23,2,FALSE()),0))</f>
        <v/>
      </c>
      <c r="J60" s="28" t="str">
        <f aca="false">IF(H62="","",IF(OR(B62="Deposit",B62="Cash In"),H62,-(H62/MAX(1-I62,0.0001))))</f>
        <v/>
      </c>
      <c r="K60" s="30" t="str">
        <f aca="false">IF(J62="","",IF(ISNUMBER(K61),K61,Settings!$C$4)+J62)</f>
        <v/>
      </c>
      <c r="L60" s="31"/>
    </row>
    <row r="61" customFormat="false" ht="27.75" hidden="false" customHeight="true" outlineLevel="0" collapsed="false">
      <c r="A61" s="32"/>
      <c r="B61" s="32"/>
      <c r="C61" s="32"/>
      <c r="D61" s="32"/>
      <c r="E61" s="33"/>
      <c r="F61" s="34"/>
      <c r="G61" s="27" t="str">
        <f aca="false">IF(E63="","",IFERROR(VLOOKUP(E63,Settings!$A$7:$B$17,2,FALSE()),1))</f>
        <v/>
      </c>
      <c r="H61" s="28" t="str">
        <f aca="false">IF(OR(F63="",G63=""),"",F63/G63)</f>
        <v/>
      </c>
      <c r="I61" s="29" t="str">
        <f aca="false">IF(B63="","",IFERROR(VLOOKUP(B63,Settings!$E$19:$F$23,2,FALSE()),0))</f>
        <v/>
      </c>
      <c r="J61" s="28" t="str">
        <f aca="false">IF(H63="","",IF(OR(B63="Deposit",B63="Cash In"),H63,-(H63/MAX(1-I63,0.0001))))</f>
        <v/>
      </c>
      <c r="K61" s="30" t="str">
        <f aca="false">IF(J63="","",IF(ISNUMBER(K62),K62,Settings!$C$4)+J63)</f>
        <v/>
      </c>
      <c r="L61" s="31"/>
    </row>
    <row r="62" customFormat="false" ht="27.75" hidden="false" customHeight="true" outlineLevel="0" collapsed="false">
      <c r="A62" s="32"/>
      <c r="B62" s="32"/>
      <c r="C62" s="32"/>
      <c r="D62" s="32"/>
      <c r="E62" s="33"/>
      <c r="F62" s="34"/>
      <c r="G62" s="27" t="str">
        <f aca="false">IF(E64="","",IFERROR(VLOOKUP(E64,Settings!$A$7:$B$17,2,FALSE()),1))</f>
        <v/>
      </c>
      <c r="H62" s="28" t="str">
        <f aca="false">IF(OR(F64="",G64=""),"",F64/G64)</f>
        <v/>
      </c>
      <c r="I62" s="29" t="str">
        <f aca="false">IF(B64="","",IFERROR(VLOOKUP(B64,Settings!$E$19:$F$23,2,FALSE()),0))</f>
        <v/>
      </c>
      <c r="J62" s="28" t="str">
        <f aca="false">IF(H64="","",IF(OR(B64="Deposit",B64="Cash In"),H64,-(H64/MAX(1-I64,0.0001))))</f>
        <v/>
      </c>
      <c r="K62" s="30" t="str">
        <f aca="false">IF(J64="","",IF(ISNUMBER(K63),K63,Settings!$C$4)+J64)</f>
        <v/>
      </c>
      <c r="L62" s="31"/>
    </row>
    <row r="63" customFormat="false" ht="27.75" hidden="false" customHeight="true" outlineLevel="0" collapsed="false">
      <c r="A63" s="32"/>
      <c r="B63" s="32"/>
      <c r="C63" s="32"/>
      <c r="D63" s="32"/>
      <c r="E63" s="33"/>
      <c r="F63" s="34"/>
      <c r="G63" s="27" t="str">
        <f aca="false">IF(E65="","",IFERROR(VLOOKUP(E65,Settings!$A$7:$B$17,2,FALSE()),1))</f>
        <v/>
      </c>
      <c r="H63" s="28" t="str">
        <f aca="false">IF(OR(F65="",G65=""),"",F65/G65)</f>
        <v/>
      </c>
      <c r="I63" s="29" t="str">
        <f aca="false">IF(B65="","",IFERROR(VLOOKUP(B65,Settings!$E$19:$F$23,2,FALSE()),0))</f>
        <v/>
      </c>
      <c r="J63" s="28" t="str">
        <f aca="false">IF(H65="","",IF(OR(B65="Deposit",B65="Cash In"),H65,-(H65/MAX(1-I65,0.0001))))</f>
        <v/>
      </c>
      <c r="K63" s="30" t="str">
        <f aca="false">IF(J65="","",IF(ISNUMBER(K64),K64,Settings!$C$4)+J65)</f>
        <v/>
      </c>
      <c r="L63" s="31"/>
    </row>
    <row r="64" customFormat="false" ht="27.75" hidden="false" customHeight="true" outlineLevel="0" collapsed="false">
      <c r="A64" s="32"/>
      <c r="B64" s="32"/>
      <c r="C64" s="32"/>
      <c r="D64" s="32"/>
      <c r="E64" s="33"/>
      <c r="F64" s="34"/>
      <c r="G64" s="27" t="str">
        <f aca="false">IF(E66="","",IFERROR(VLOOKUP(E66,Settings!$A$7:$B$17,2,FALSE()),1))</f>
        <v/>
      </c>
      <c r="H64" s="28" t="str">
        <f aca="false">IF(OR(F66="",G66=""),"",F66/G66)</f>
        <v/>
      </c>
      <c r="I64" s="29" t="str">
        <f aca="false">IF(B66="","",IFERROR(VLOOKUP(B66,Settings!$E$19:$F$23,2,FALSE()),0))</f>
        <v/>
      </c>
      <c r="J64" s="28" t="str">
        <f aca="false">IF(H66="","",IF(OR(B66="Deposit",B66="Cash In"),H66,-(H66/MAX(1-I66,0.0001))))</f>
        <v/>
      </c>
      <c r="K64" s="30" t="str">
        <f aca="false">IF(J66="","",IF(ISNUMBER(K65),K65,Settings!$C$4)+J66)</f>
        <v/>
      </c>
      <c r="L64" s="31"/>
    </row>
    <row r="65" customFormat="false" ht="27.75" hidden="false" customHeight="true" outlineLevel="0" collapsed="false">
      <c r="A65" s="32"/>
      <c r="B65" s="32"/>
      <c r="C65" s="32"/>
      <c r="D65" s="32"/>
      <c r="E65" s="33"/>
      <c r="F65" s="34"/>
      <c r="G65" s="27" t="str">
        <f aca="false">IF(E67="","",IFERROR(VLOOKUP(E67,Settings!$A$7:$B$17,2,FALSE()),1))</f>
        <v/>
      </c>
      <c r="H65" s="28" t="str">
        <f aca="false">IF(OR(F67="",G67=""),"",F67/G67)</f>
        <v/>
      </c>
      <c r="I65" s="29" t="str">
        <f aca="false">IF(B67="","",IFERROR(VLOOKUP(B67,Settings!$E$19:$F$23,2,FALSE()),0))</f>
        <v/>
      </c>
      <c r="J65" s="28" t="str">
        <f aca="false">IF(H67="","",IF(OR(B67="Deposit",B67="Cash In"),H67,-(H67/MAX(1-I67,0.0001))))</f>
        <v/>
      </c>
      <c r="K65" s="30" t="str">
        <f aca="false">IF(J67="","",IF(ISNUMBER(K66),K66,Settings!$C$4)+J67)</f>
        <v/>
      </c>
      <c r="L65" s="31"/>
    </row>
    <row r="66" customFormat="false" ht="27.75" hidden="false" customHeight="true" outlineLevel="0" collapsed="false">
      <c r="A66" s="32"/>
      <c r="B66" s="32"/>
      <c r="C66" s="32"/>
      <c r="D66" s="32"/>
      <c r="E66" s="33"/>
      <c r="F66" s="34"/>
      <c r="G66" s="27" t="str">
        <f aca="false">IF(E68="","",IFERROR(VLOOKUP(E68,Settings!$A$7:$B$17,2,FALSE()),1))</f>
        <v/>
      </c>
      <c r="H66" s="28" t="str">
        <f aca="false">IF(OR(F68="",G68=""),"",F68/G68)</f>
        <v/>
      </c>
      <c r="I66" s="29" t="str">
        <f aca="false">IF(B68="","",IFERROR(VLOOKUP(B68,Settings!$E$19:$F$23,2,FALSE()),0))</f>
        <v/>
      </c>
      <c r="J66" s="28" t="str">
        <f aca="false">IF(H68="","",IF(OR(B68="Deposit",B68="Cash In"),H68,-(H68/MAX(1-I68,0.0001))))</f>
        <v/>
      </c>
      <c r="K66" s="30" t="str">
        <f aca="false">IF(J68="","",IF(ISNUMBER(K67),K67,Settings!$C$4)+J68)</f>
        <v/>
      </c>
      <c r="L66" s="31"/>
    </row>
    <row r="67" customFormat="false" ht="27.75" hidden="false" customHeight="true" outlineLevel="0" collapsed="false">
      <c r="A67" s="32"/>
      <c r="B67" s="32"/>
      <c r="C67" s="32"/>
      <c r="D67" s="32"/>
      <c r="E67" s="33"/>
      <c r="F67" s="34"/>
      <c r="G67" s="27" t="str">
        <f aca="false">IF(E69="","",IFERROR(VLOOKUP(E69,Settings!$A$7:$B$17,2,FALSE()),1))</f>
        <v/>
      </c>
      <c r="H67" s="28" t="str">
        <f aca="false">IF(OR(F69="",G69=""),"",F69/G69)</f>
        <v/>
      </c>
      <c r="I67" s="29" t="str">
        <f aca="false">IF(B69="","",IFERROR(VLOOKUP(B69,Settings!$E$19:$F$23,2,FALSE()),0))</f>
        <v/>
      </c>
      <c r="J67" s="28" t="str">
        <f aca="false">IF(H69="","",IF(OR(B69="Deposit",B69="Cash In"),H69,-(H69/MAX(1-I69,0.0001))))</f>
        <v/>
      </c>
      <c r="K67" s="30" t="str">
        <f aca="false">IF(J69="","",IF(ISNUMBER(K68),K68,Settings!$C$4)+J69)</f>
        <v/>
      </c>
      <c r="L67" s="31"/>
    </row>
    <row r="68" customFormat="false" ht="27.75" hidden="false" customHeight="true" outlineLevel="0" collapsed="false">
      <c r="A68" s="32"/>
      <c r="B68" s="32"/>
      <c r="C68" s="32"/>
      <c r="D68" s="32"/>
      <c r="E68" s="33"/>
      <c r="F68" s="34"/>
      <c r="G68" s="27" t="str">
        <f aca="false">IF(E70="","",IFERROR(VLOOKUP(E70,Settings!$A$7:$B$17,2,FALSE()),1))</f>
        <v/>
      </c>
      <c r="H68" s="28" t="str">
        <f aca="false">IF(OR(F70="",G70=""),"",F70/G70)</f>
        <v/>
      </c>
      <c r="I68" s="29" t="str">
        <f aca="false">IF(B70="","",IFERROR(VLOOKUP(B70,Settings!$E$19:$F$23,2,FALSE()),0))</f>
        <v/>
      </c>
      <c r="J68" s="28" t="str">
        <f aca="false">IF(H70="","",IF(OR(B70="Deposit",B70="Cash In"),H70,-(H70/MAX(1-I70,0.0001))))</f>
        <v/>
      </c>
      <c r="K68" s="30" t="str">
        <f aca="false">IF(J70="","",IF(ISNUMBER(K69),K69,Settings!$C$4)+J70)</f>
        <v/>
      </c>
      <c r="L68" s="31"/>
    </row>
    <row r="69" customFormat="false" ht="27.75" hidden="false" customHeight="true" outlineLevel="0" collapsed="false">
      <c r="A69" s="32"/>
      <c r="B69" s="32"/>
      <c r="C69" s="32"/>
      <c r="D69" s="32"/>
      <c r="E69" s="33"/>
      <c r="F69" s="34"/>
      <c r="G69" s="27" t="str">
        <f aca="false">IF(E71="","",IFERROR(VLOOKUP(E71,Settings!$A$7:$B$17,2,FALSE()),1))</f>
        <v/>
      </c>
      <c r="H69" s="28" t="str">
        <f aca="false">IF(OR(F71="",G71=""),"",F71/G71)</f>
        <v/>
      </c>
      <c r="I69" s="29" t="str">
        <f aca="false">IF(B71="","",IFERROR(VLOOKUP(B71,Settings!$E$19:$F$23,2,FALSE()),0))</f>
        <v/>
      </c>
      <c r="J69" s="28" t="str">
        <f aca="false">IF(H71="","",IF(OR(B71="Deposit",B71="Cash In"),H71,-(H71/MAX(1-I71,0.0001))))</f>
        <v/>
      </c>
      <c r="K69" s="30" t="str">
        <f aca="false">IF(J71="","",IF(ISNUMBER(K70),K70,Settings!$C$4)+J71)</f>
        <v/>
      </c>
      <c r="L69" s="31"/>
    </row>
    <row r="70" customFormat="false" ht="27.75" hidden="false" customHeight="true" outlineLevel="0" collapsed="false">
      <c r="A70" s="32"/>
      <c r="B70" s="32"/>
      <c r="C70" s="32"/>
      <c r="D70" s="32"/>
      <c r="E70" s="33"/>
      <c r="F70" s="34"/>
      <c r="G70" s="27" t="str">
        <f aca="false">IF(E72="","",IFERROR(VLOOKUP(E72,Settings!$A$7:$B$17,2,FALSE()),1))</f>
        <v/>
      </c>
      <c r="H70" s="28" t="str">
        <f aca="false">IF(OR(F72="",G72=""),"",F72/G72)</f>
        <v/>
      </c>
      <c r="I70" s="29" t="str">
        <f aca="false">IF(B72="","",IFERROR(VLOOKUP(B72,Settings!$E$19:$F$23,2,FALSE()),0))</f>
        <v/>
      </c>
      <c r="J70" s="28" t="str">
        <f aca="false">IF(H72="","",IF(OR(B72="Deposit",B72="Cash In"),H72,-(H72/MAX(1-I72,0.0001))))</f>
        <v/>
      </c>
      <c r="K70" s="30" t="str">
        <f aca="false">IF(J72="","",IF(ISNUMBER(K71),K71,Settings!$C$4)+J72)</f>
        <v/>
      </c>
      <c r="L70" s="31"/>
    </row>
    <row r="71" customFormat="false" ht="27.75" hidden="false" customHeight="true" outlineLevel="0" collapsed="false">
      <c r="A71" s="32"/>
      <c r="B71" s="32"/>
      <c r="C71" s="32"/>
      <c r="D71" s="32"/>
      <c r="E71" s="33"/>
      <c r="F71" s="34"/>
      <c r="G71" s="27" t="str">
        <f aca="false">IF(E73="","",IFERROR(VLOOKUP(E73,Settings!$A$7:$B$17,2,FALSE()),1))</f>
        <v/>
      </c>
      <c r="H71" s="28" t="str">
        <f aca="false">IF(OR(F73="",G73=""),"",F73/G73)</f>
        <v/>
      </c>
      <c r="I71" s="29" t="str">
        <f aca="false">IF(B73="","",IFERROR(VLOOKUP(B73,Settings!$E$19:$F$23,2,FALSE()),0))</f>
        <v/>
      </c>
      <c r="J71" s="28" t="str">
        <f aca="false">IF(H73="","",IF(OR(B73="Deposit",B73="Cash In"),H73,-(H73/MAX(1-I73,0.0001))))</f>
        <v/>
      </c>
      <c r="K71" s="30" t="str">
        <f aca="false">IF(J73="","",IF(ISNUMBER(K72),K72,Settings!$C$4)+J73)</f>
        <v/>
      </c>
      <c r="L71" s="31"/>
    </row>
    <row r="72" customFormat="false" ht="27.75" hidden="false" customHeight="true" outlineLevel="0" collapsed="false">
      <c r="A72" s="32"/>
      <c r="B72" s="32"/>
      <c r="C72" s="32"/>
      <c r="D72" s="32"/>
      <c r="E72" s="33"/>
      <c r="F72" s="34"/>
      <c r="G72" s="27" t="str">
        <f aca="false">IF(E74="","",IFERROR(VLOOKUP(E74,Settings!$A$7:$B$17,2,FALSE()),1))</f>
        <v/>
      </c>
      <c r="H72" s="28" t="str">
        <f aca="false">IF(OR(F74="",G74=""),"",F74/G74)</f>
        <v/>
      </c>
      <c r="I72" s="29" t="str">
        <f aca="false">IF(B74="","",IFERROR(VLOOKUP(B74,Settings!$E$19:$F$23,2,FALSE()),0))</f>
        <v/>
      </c>
      <c r="J72" s="28" t="str">
        <f aca="false">IF(H74="","",IF(OR(B74="Deposit",B74="Cash In"),H74,-(H74/MAX(1-I74,0.0001))))</f>
        <v/>
      </c>
      <c r="K72" s="30" t="str">
        <f aca="false">IF(J74="","",IF(ISNUMBER(K73),K73,Settings!$C$4)+J74)</f>
        <v/>
      </c>
      <c r="L72" s="31"/>
    </row>
    <row r="73" customFormat="false" ht="27.75" hidden="false" customHeight="true" outlineLevel="0" collapsed="false">
      <c r="A73" s="32"/>
      <c r="B73" s="32"/>
      <c r="C73" s="32"/>
      <c r="D73" s="32"/>
      <c r="E73" s="33"/>
      <c r="F73" s="34"/>
      <c r="G73" s="27" t="str">
        <f aca="false">IF(E75="","",IFERROR(VLOOKUP(E75,Settings!$A$7:$B$17,2,FALSE()),1))</f>
        <v/>
      </c>
      <c r="H73" s="28" t="str">
        <f aca="false">IF(OR(F75="",G75=""),"",F75/G75)</f>
        <v/>
      </c>
      <c r="I73" s="29" t="str">
        <f aca="false">IF(B75="","",IFERROR(VLOOKUP(B75,Settings!$E$19:$F$23,2,FALSE()),0))</f>
        <v/>
      </c>
      <c r="J73" s="28" t="str">
        <f aca="false">IF(H75="","",IF(OR(B75="Deposit",B75="Cash In"),H75,-(H75/MAX(1-I75,0.0001))))</f>
        <v/>
      </c>
      <c r="K73" s="30" t="str">
        <f aca="false">IF(J75="","",IF(ISNUMBER(K74),K74,Settings!$C$4)+J75)</f>
        <v/>
      </c>
      <c r="L73" s="31"/>
    </row>
    <row r="74" customFormat="false" ht="27.75" hidden="false" customHeight="true" outlineLevel="0" collapsed="false">
      <c r="A74" s="32"/>
      <c r="B74" s="32"/>
      <c r="C74" s="32"/>
      <c r="D74" s="32"/>
      <c r="E74" s="33"/>
      <c r="F74" s="34"/>
      <c r="G74" s="27" t="str">
        <f aca="false">IF(E76="","",IFERROR(VLOOKUP(E76,Settings!$A$7:$B$17,2,FALSE()),1))</f>
        <v/>
      </c>
      <c r="H74" s="28" t="str">
        <f aca="false">IF(OR(F76="",G76=""),"",F76/G76)</f>
        <v/>
      </c>
      <c r="I74" s="29" t="str">
        <f aca="false">IF(B76="","",IFERROR(VLOOKUP(B76,Settings!$E$19:$F$23,2,FALSE()),0))</f>
        <v/>
      </c>
      <c r="J74" s="28" t="str">
        <f aca="false">IF(H76="","",IF(OR(B76="Deposit",B76="Cash In"),H76,-(H76/MAX(1-I76,0.0001))))</f>
        <v/>
      </c>
      <c r="K74" s="30" t="str">
        <f aca="false">IF(J76="","",IF(ISNUMBER(K75),K75,Settings!$C$4)+J76)</f>
        <v/>
      </c>
      <c r="L74" s="31"/>
    </row>
    <row r="75" customFormat="false" ht="27.75" hidden="false" customHeight="true" outlineLevel="0" collapsed="false">
      <c r="A75" s="32"/>
      <c r="B75" s="32"/>
      <c r="C75" s="32"/>
      <c r="D75" s="32"/>
      <c r="E75" s="33"/>
      <c r="F75" s="34"/>
      <c r="G75" s="27" t="str">
        <f aca="false">IF(E77="","",IFERROR(VLOOKUP(E77,Settings!$A$7:$B$17,2,FALSE()),1))</f>
        <v/>
      </c>
      <c r="H75" s="28" t="str">
        <f aca="false">IF(OR(F77="",G77=""),"",F77/G77)</f>
        <v/>
      </c>
      <c r="I75" s="29" t="str">
        <f aca="false">IF(B77="","",IFERROR(VLOOKUP(B77,Settings!$E$19:$F$23,2,FALSE()),0))</f>
        <v/>
      </c>
      <c r="J75" s="28" t="str">
        <f aca="false">IF(H77="","",IF(OR(B77="Deposit",B77="Cash In"),H77,-(H77/MAX(1-I77,0.0001))))</f>
        <v/>
      </c>
      <c r="K75" s="30" t="str">
        <f aca="false">IF(J77="","",IF(ISNUMBER(K76),K76,Settings!$C$4)+J77)</f>
        <v/>
      </c>
      <c r="L75" s="31"/>
    </row>
    <row r="76" customFormat="false" ht="27.75" hidden="false" customHeight="true" outlineLevel="0" collapsed="false">
      <c r="A76" s="32"/>
      <c r="B76" s="32"/>
      <c r="C76" s="32"/>
      <c r="D76" s="32"/>
      <c r="E76" s="33"/>
      <c r="F76" s="34"/>
      <c r="G76" s="27" t="str">
        <f aca="false">IF(E78="","",IFERROR(VLOOKUP(E78,Settings!$A$7:$B$17,2,FALSE()),1))</f>
        <v/>
      </c>
      <c r="H76" s="28" t="str">
        <f aca="false">IF(OR(F78="",G78=""),"",F78/G78)</f>
        <v/>
      </c>
      <c r="I76" s="29" t="str">
        <f aca="false">IF(B78="","",IFERROR(VLOOKUP(B78,Settings!$E$19:$F$23,2,FALSE()),0))</f>
        <v/>
      </c>
      <c r="J76" s="28" t="str">
        <f aca="false">IF(H78="","",IF(OR(B78="Deposit",B78="Cash In"),H78,-(H78/MAX(1-I78,0.0001))))</f>
        <v/>
      </c>
      <c r="K76" s="30" t="str">
        <f aca="false">IF(J78="","",IF(ISNUMBER(K77),K77,Settings!$C$4)+J78)</f>
        <v/>
      </c>
      <c r="L76" s="31"/>
    </row>
    <row r="77" customFormat="false" ht="27.75" hidden="false" customHeight="true" outlineLevel="0" collapsed="false">
      <c r="A77" s="32"/>
      <c r="B77" s="32"/>
      <c r="C77" s="32"/>
      <c r="D77" s="32"/>
      <c r="E77" s="33"/>
      <c r="F77" s="34"/>
      <c r="G77" s="27" t="str">
        <f aca="false">IF(E79="","",IFERROR(VLOOKUP(E79,Settings!$A$7:$B$17,2,FALSE()),1))</f>
        <v/>
      </c>
      <c r="H77" s="28" t="str">
        <f aca="false">IF(OR(F79="",G79=""),"",F79/G79)</f>
        <v/>
      </c>
      <c r="I77" s="29" t="str">
        <f aca="false">IF(B79="","",IFERROR(VLOOKUP(B79,Settings!$E$19:$F$23,2,FALSE()),0))</f>
        <v/>
      </c>
      <c r="J77" s="28" t="str">
        <f aca="false">IF(H79="","",IF(OR(B79="Deposit",B79="Cash In"),H79,-(H79/MAX(1-I79,0.0001))))</f>
        <v/>
      </c>
      <c r="K77" s="30" t="str">
        <f aca="false">IF(J79="","",IF(ISNUMBER(K78),K78,Settings!$C$4)+J79)</f>
        <v/>
      </c>
      <c r="L77" s="31"/>
    </row>
    <row r="78" customFormat="false" ht="27.75" hidden="false" customHeight="true" outlineLevel="0" collapsed="false">
      <c r="A78" s="32"/>
      <c r="B78" s="32"/>
      <c r="C78" s="32"/>
      <c r="D78" s="32"/>
      <c r="E78" s="33"/>
      <c r="F78" s="34"/>
      <c r="G78" s="27" t="str">
        <f aca="false">IF(E80="","",IFERROR(VLOOKUP(E80,Settings!$A$7:$B$17,2,FALSE()),1))</f>
        <v/>
      </c>
      <c r="H78" s="28" t="str">
        <f aca="false">IF(OR(F80="",G80=""),"",F80/G80)</f>
        <v/>
      </c>
      <c r="I78" s="29" t="str">
        <f aca="false">IF(B80="","",IFERROR(VLOOKUP(B80,Settings!$E$19:$F$23,2,FALSE()),0))</f>
        <v/>
      </c>
      <c r="J78" s="28" t="str">
        <f aca="false">IF(H80="","",IF(OR(B80="Deposit",B80="Cash In"),H80,-(H80/MAX(1-I80,0.0001))))</f>
        <v/>
      </c>
      <c r="K78" s="30" t="str">
        <f aca="false">IF(J80="","",IF(ISNUMBER(K79),K79,Settings!$C$4)+J80)</f>
        <v/>
      </c>
      <c r="L78" s="31"/>
    </row>
    <row r="79" customFormat="false" ht="27.75" hidden="false" customHeight="true" outlineLevel="0" collapsed="false">
      <c r="A79" s="32"/>
      <c r="B79" s="32"/>
      <c r="C79" s="32"/>
      <c r="D79" s="32"/>
      <c r="E79" s="33"/>
      <c r="F79" s="34"/>
      <c r="G79" s="27" t="str">
        <f aca="false">IF(E81="","",IFERROR(VLOOKUP(E81,Settings!$A$7:$B$17,2,FALSE()),1))</f>
        <v/>
      </c>
      <c r="H79" s="28" t="str">
        <f aca="false">IF(OR(F81="",G81=""),"",F81/G81)</f>
        <v/>
      </c>
      <c r="I79" s="29" t="str">
        <f aca="false">IF(B81="","",IFERROR(VLOOKUP(B81,Settings!$E$19:$F$23,2,FALSE()),0))</f>
        <v/>
      </c>
      <c r="J79" s="28" t="str">
        <f aca="false">IF(H81="","",IF(OR(B81="Deposit",B81="Cash In"),H81,-(H81/MAX(1-I81,0.0001))))</f>
        <v/>
      </c>
      <c r="K79" s="30" t="str">
        <f aca="false">IF(J81="","",IF(ISNUMBER(K80),K80,Settings!$C$4)+J81)</f>
        <v/>
      </c>
      <c r="L79" s="31"/>
    </row>
    <row r="80" customFormat="false" ht="27.75" hidden="false" customHeight="true" outlineLevel="0" collapsed="false">
      <c r="A80" s="32"/>
      <c r="B80" s="32"/>
      <c r="C80" s="32"/>
      <c r="D80" s="32"/>
      <c r="E80" s="33"/>
      <c r="F80" s="34"/>
      <c r="G80" s="27" t="str">
        <f aca="false">IF(E82="","",IFERROR(VLOOKUP(E82,Settings!$A$7:$B$17,2,FALSE()),1))</f>
        <v/>
      </c>
      <c r="H80" s="28" t="str">
        <f aca="false">IF(OR(F82="",G82=""),"",F82/G82)</f>
        <v/>
      </c>
      <c r="I80" s="29" t="str">
        <f aca="false">IF(B82="","",IFERROR(VLOOKUP(B82,Settings!$E$19:$F$23,2,FALSE()),0))</f>
        <v/>
      </c>
      <c r="J80" s="28" t="str">
        <f aca="false">IF(H82="","",IF(OR(B82="Deposit",B82="Cash In"),H82,-(H82/MAX(1-I82,0.0001))))</f>
        <v/>
      </c>
      <c r="K80" s="30" t="str">
        <f aca="false">IF(J82="","",IF(ISNUMBER(K81),K81,Settings!$C$4)+J82)</f>
        <v/>
      </c>
      <c r="L80" s="31"/>
    </row>
    <row r="81" customFormat="false" ht="27.75" hidden="false" customHeight="true" outlineLevel="0" collapsed="false">
      <c r="A81" s="32"/>
      <c r="B81" s="32"/>
      <c r="C81" s="32"/>
      <c r="D81" s="32"/>
      <c r="E81" s="33"/>
      <c r="F81" s="34"/>
      <c r="G81" s="27" t="str">
        <f aca="false">IF(E83="","",IFERROR(VLOOKUP(E83,Settings!$A$7:$B$17,2,FALSE()),1))</f>
        <v/>
      </c>
      <c r="H81" s="28" t="str">
        <f aca="false">IF(OR(F83="",G83=""),"",F83/G83)</f>
        <v/>
      </c>
      <c r="I81" s="29" t="str">
        <f aca="false">IF(B83="","",IFERROR(VLOOKUP(B83,Settings!$E$19:$F$23,2,FALSE()),0))</f>
        <v/>
      </c>
      <c r="J81" s="28" t="str">
        <f aca="false">IF(H83="","",IF(OR(B83="Deposit",B83="Cash In"),H83,-(H83/MAX(1-I83,0.0001))))</f>
        <v/>
      </c>
      <c r="K81" s="30" t="str">
        <f aca="false">IF(J83="","",IF(ISNUMBER(K82),K82,Settings!$C$4)+J83)</f>
        <v/>
      </c>
      <c r="L81" s="31"/>
    </row>
    <row r="82" customFormat="false" ht="27.75" hidden="false" customHeight="true" outlineLevel="0" collapsed="false">
      <c r="A82" s="32"/>
      <c r="B82" s="32"/>
      <c r="C82" s="32"/>
      <c r="D82" s="32"/>
      <c r="E82" s="33"/>
      <c r="F82" s="34"/>
      <c r="G82" s="27" t="str">
        <f aca="false">IF(E84="","",IFERROR(VLOOKUP(E84,Settings!$A$7:$B$17,2,FALSE()),1))</f>
        <v/>
      </c>
      <c r="H82" s="28" t="str">
        <f aca="false">IF(OR(F84="",G84=""),"",F84/G84)</f>
        <v/>
      </c>
      <c r="I82" s="29" t="str">
        <f aca="false">IF(B84="","",IFERROR(VLOOKUP(B84,Settings!$E$19:$F$23,2,FALSE()),0))</f>
        <v/>
      </c>
      <c r="J82" s="28" t="str">
        <f aca="false">IF(H84="","",IF(OR(B84="Deposit",B84="Cash In"),H84,-(H84/MAX(1-I84,0.0001))))</f>
        <v/>
      </c>
      <c r="K82" s="30" t="str">
        <f aca="false">IF(J84="","",IF(ISNUMBER(K83),K83,Settings!$C$4)+J84)</f>
        <v/>
      </c>
      <c r="L82" s="31"/>
    </row>
    <row r="83" customFormat="false" ht="27.75" hidden="false" customHeight="true" outlineLevel="0" collapsed="false">
      <c r="A83" s="32"/>
      <c r="B83" s="32"/>
      <c r="C83" s="32"/>
      <c r="D83" s="32"/>
      <c r="E83" s="33"/>
      <c r="F83" s="34"/>
      <c r="G83" s="27" t="str">
        <f aca="false">IF(E85="","",IFERROR(VLOOKUP(E85,Settings!$A$7:$B$17,2,FALSE()),1))</f>
        <v/>
      </c>
      <c r="H83" s="28" t="str">
        <f aca="false">IF(OR(F85="",G85=""),"",F85/G85)</f>
        <v/>
      </c>
      <c r="I83" s="29" t="str">
        <f aca="false">IF(B85="","",IFERROR(VLOOKUP(B85,Settings!$E$19:$F$23,2,FALSE()),0))</f>
        <v/>
      </c>
      <c r="J83" s="28" t="str">
        <f aca="false">IF(H85="","",IF(OR(B85="Deposit",B85="Cash In"),H85,-(H85/MAX(1-I85,0.0001))))</f>
        <v/>
      </c>
      <c r="K83" s="30" t="str">
        <f aca="false">IF(J85="","",IF(ISNUMBER(K84),K84,Settings!$C$4)+J85)</f>
        <v/>
      </c>
      <c r="L83" s="31"/>
    </row>
    <row r="84" customFormat="false" ht="27.75" hidden="false" customHeight="true" outlineLevel="0" collapsed="false">
      <c r="A84" s="32"/>
      <c r="B84" s="32"/>
      <c r="C84" s="32"/>
      <c r="D84" s="32"/>
      <c r="E84" s="33"/>
      <c r="F84" s="34"/>
      <c r="G84" s="27" t="str">
        <f aca="false">IF(E86="","",IFERROR(VLOOKUP(E86,Settings!$A$7:$B$17,2,FALSE()),1))</f>
        <v/>
      </c>
      <c r="H84" s="28" t="str">
        <f aca="false">IF(OR(F86="",G86=""),"",F86/G86)</f>
        <v/>
      </c>
      <c r="I84" s="29" t="str">
        <f aca="false">IF(B86="","",IFERROR(VLOOKUP(B86,Settings!$E$19:$F$23,2,FALSE()),0))</f>
        <v/>
      </c>
      <c r="J84" s="28" t="str">
        <f aca="false">IF(H86="","",IF(OR(B86="Deposit",B86="Cash In"),H86,-(H86/MAX(1-I86,0.0001))))</f>
        <v/>
      </c>
      <c r="K84" s="30" t="str">
        <f aca="false">IF(J86="","",IF(ISNUMBER(K85),K85,Settings!$C$4)+J86)</f>
        <v/>
      </c>
      <c r="L84" s="31"/>
    </row>
    <row r="85" customFormat="false" ht="27.75" hidden="false" customHeight="true" outlineLevel="0" collapsed="false">
      <c r="A85" s="32"/>
      <c r="B85" s="32"/>
      <c r="C85" s="32"/>
      <c r="D85" s="32"/>
      <c r="E85" s="33"/>
      <c r="F85" s="34"/>
      <c r="G85" s="27" t="str">
        <f aca="false">IF(E87="","",IFERROR(VLOOKUP(E87,Settings!$A$7:$B$17,2,FALSE()),1))</f>
        <v/>
      </c>
      <c r="H85" s="28" t="str">
        <f aca="false">IF(OR(F87="",G87=""),"",F87/G87)</f>
        <v/>
      </c>
      <c r="I85" s="29" t="str">
        <f aca="false">IF(B87="","",IFERROR(VLOOKUP(B87,Settings!$E$19:$F$23,2,FALSE()),0))</f>
        <v/>
      </c>
      <c r="J85" s="28" t="str">
        <f aca="false">IF(H87="","",IF(OR(B87="Deposit",B87="Cash In"),H87,-(H87/MAX(1-I87,0.0001))))</f>
        <v/>
      </c>
      <c r="K85" s="30" t="str">
        <f aca="false">IF(J87="","",IF(ISNUMBER(K86),K86,Settings!$C$4)+J87)</f>
        <v/>
      </c>
      <c r="L85" s="31"/>
    </row>
    <row r="86" customFormat="false" ht="27.75" hidden="false" customHeight="true" outlineLevel="0" collapsed="false">
      <c r="A86" s="32"/>
      <c r="B86" s="32"/>
      <c r="C86" s="32"/>
      <c r="D86" s="32"/>
      <c r="E86" s="33"/>
      <c r="F86" s="34"/>
      <c r="G86" s="27" t="str">
        <f aca="false">IF(E88="","",IFERROR(VLOOKUP(E88,Settings!$A$7:$B$17,2,FALSE()),1))</f>
        <v/>
      </c>
      <c r="H86" s="28" t="str">
        <f aca="false">IF(OR(F88="",G88=""),"",F88/G88)</f>
        <v/>
      </c>
      <c r="I86" s="29" t="str">
        <f aca="false">IF(B88="","",IFERROR(VLOOKUP(B88,Settings!$E$19:$F$23,2,FALSE()),0))</f>
        <v/>
      </c>
      <c r="J86" s="28" t="str">
        <f aca="false">IF(H88="","",IF(OR(B88="Deposit",B88="Cash In"),H88,-(H88/MAX(1-I88,0.0001))))</f>
        <v/>
      </c>
      <c r="K86" s="30" t="str">
        <f aca="false">IF(J88="","",IF(ISNUMBER(K87),K87,Settings!$C$4)+J88)</f>
        <v/>
      </c>
      <c r="L86" s="31"/>
    </row>
    <row r="87" customFormat="false" ht="27.75" hidden="false" customHeight="true" outlineLevel="0" collapsed="false">
      <c r="A87" s="32"/>
      <c r="B87" s="32"/>
      <c r="C87" s="32"/>
      <c r="D87" s="32"/>
      <c r="E87" s="33"/>
      <c r="F87" s="34"/>
      <c r="G87" s="27" t="str">
        <f aca="false">IF(E89="","",IFERROR(VLOOKUP(E89,Settings!$A$7:$B$17,2,FALSE()),1))</f>
        <v/>
      </c>
      <c r="H87" s="28" t="str">
        <f aca="false">IF(OR(F89="",G89=""),"",F89/G89)</f>
        <v/>
      </c>
      <c r="I87" s="29" t="str">
        <f aca="false">IF(B89="","",IFERROR(VLOOKUP(B89,Settings!$E$19:$F$23,2,FALSE()),0))</f>
        <v/>
      </c>
      <c r="J87" s="28" t="str">
        <f aca="false">IF(H89="","",IF(OR(B89="Deposit",B89="Cash In"),H89,-(H89/MAX(1-I89,0.0001))))</f>
        <v/>
      </c>
      <c r="K87" s="30" t="str">
        <f aca="false">IF(J89="","",IF(ISNUMBER(K88),K88,Settings!$C$4)+J89)</f>
        <v/>
      </c>
      <c r="L87" s="31"/>
    </row>
    <row r="88" customFormat="false" ht="27.75" hidden="false" customHeight="true" outlineLevel="0" collapsed="false">
      <c r="A88" s="32"/>
      <c r="B88" s="32"/>
      <c r="C88" s="32"/>
      <c r="D88" s="32"/>
      <c r="E88" s="33"/>
      <c r="F88" s="34"/>
      <c r="G88" s="27" t="str">
        <f aca="false">IF(E90="","",IFERROR(VLOOKUP(E90,Settings!$A$7:$B$17,2,FALSE()),1))</f>
        <v/>
      </c>
      <c r="H88" s="28" t="str">
        <f aca="false">IF(OR(F90="",G90=""),"",F90/G90)</f>
        <v/>
      </c>
      <c r="I88" s="29" t="str">
        <f aca="false">IF(B90="","",IFERROR(VLOOKUP(B90,Settings!$E$19:$F$23,2,FALSE()),0))</f>
        <v/>
      </c>
      <c r="J88" s="28" t="str">
        <f aca="false">IF(H90="","",IF(OR(B90="Deposit",B90="Cash In"),H90,-(H90/MAX(1-I90,0.0001))))</f>
        <v/>
      </c>
      <c r="K88" s="30" t="str">
        <f aca="false">IF(J90="","",IF(ISNUMBER(K89),K89,Settings!$C$4)+J90)</f>
        <v/>
      </c>
      <c r="L88" s="31"/>
    </row>
    <row r="89" customFormat="false" ht="27.75" hidden="false" customHeight="true" outlineLevel="0" collapsed="false">
      <c r="A89" s="32"/>
      <c r="B89" s="32"/>
      <c r="C89" s="32"/>
      <c r="D89" s="32"/>
      <c r="E89" s="33"/>
      <c r="F89" s="34"/>
      <c r="G89" s="27" t="str">
        <f aca="false">IF(E91="","",IFERROR(VLOOKUP(E91,Settings!$A$7:$B$17,2,FALSE()),1))</f>
        <v/>
      </c>
      <c r="H89" s="28" t="str">
        <f aca="false">IF(OR(F91="",G91=""),"",F91/G91)</f>
        <v/>
      </c>
      <c r="I89" s="29" t="str">
        <f aca="false">IF(B91="","",IFERROR(VLOOKUP(B91,Settings!$E$19:$F$23,2,FALSE()),0))</f>
        <v/>
      </c>
      <c r="J89" s="28" t="str">
        <f aca="false">IF(H91="","",IF(OR(B91="Deposit",B91="Cash In"),H91,-(H91/MAX(1-I91,0.0001))))</f>
        <v/>
      </c>
      <c r="K89" s="30" t="str">
        <f aca="false">IF(J91="","",IF(ISNUMBER(K90),K90,Settings!$C$4)+J91)</f>
        <v/>
      </c>
      <c r="L89" s="31"/>
    </row>
    <row r="90" customFormat="false" ht="27.75" hidden="false" customHeight="true" outlineLevel="0" collapsed="false">
      <c r="A90" s="32"/>
      <c r="B90" s="32"/>
      <c r="C90" s="32"/>
      <c r="D90" s="32"/>
      <c r="E90" s="33"/>
      <c r="F90" s="34"/>
      <c r="G90" s="27" t="str">
        <f aca="false">IF(E92="","",IFERROR(VLOOKUP(E92,Settings!$A$7:$B$17,2,FALSE()),1))</f>
        <v/>
      </c>
      <c r="H90" s="28" t="str">
        <f aca="false">IF(OR(F92="",G92=""),"",F92/G92)</f>
        <v/>
      </c>
      <c r="I90" s="29" t="str">
        <f aca="false">IF(B92="","",IFERROR(VLOOKUP(B92,Settings!$E$19:$F$23,2,FALSE()),0))</f>
        <v/>
      </c>
      <c r="J90" s="28" t="str">
        <f aca="false">IF(H92="","",IF(OR(B92="Deposit",B92="Cash In"),H92,-(H92/MAX(1-I92,0.0001))))</f>
        <v/>
      </c>
      <c r="K90" s="30" t="str">
        <f aca="false">IF(J92="","",IF(ISNUMBER(K91),K91,Settings!$C$4)+J92)</f>
        <v/>
      </c>
      <c r="L90" s="31"/>
    </row>
    <row r="91" customFormat="false" ht="27.75" hidden="false" customHeight="true" outlineLevel="0" collapsed="false">
      <c r="A91" s="32"/>
      <c r="B91" s="32"/>
      <c r="C91" s="32"/>
      <c r="D91" s="32"/>
      <c r="E91" s="33"/>
      <c r="F91" s="34"/>
      <c r="G91" s="27" t="str">
        <f aca="false">IF(E93="","",IFERROR(VLOOKUP(E93,Settings!$A$7:$B$17,2,FALSE()),1))</f>
        <v/>
      </c>
      <c r="H91" s="28" t="str">
        <f aca="false">IF(OR(F93="",G93=""),"",F93/G93)</f>
        <v/>
      </c>
      <c r="I91" s="29" t="str">
        <f aca="false">IF(B93="","",IFERROR(VLOOKUP(B93,Settings!$E$19:$F$23,2,FALSE()),0))</f>
        <v/>
      </c>
      <c r="J91" s="28" t="str">
        <f aca="false">IF(H93="","",IF(OR(B93="Deposit",B93="Cash In"),H93,-(H93/MAX(1-I93,0.0001))))</f>
        <v/>
      </c>
      <c r="K91" s="30" t="str">
        <f aca="false">IF(J93="","",IF(ISNUMBER(K92),K92,Settings!$C$4)+J93)</f>
        <v/>
      </c>
      <c r="L91" s="31"/>
    </row>
    <row r="92" customFormat="false" ht="27.75" hidden="false" customHeight="true" outlineLevel="0" collapsed="false">
      <c r="A92" s="32"/>
      <c r="B92" s="32"/>
      <c r="C92" s="32"/>
      <c r="D92" s="32"/>
      <c r="E92" s="33"/>
      <c r="F92" s="34"/>
      <c r="G92" s="27" t="str">
        <f aca="false">IF(E94="","",IFERROR(VLOOKUP(E94,Settings!$A$7:$B$17,2,FALSE()),1))</f>
        <v/>
      </c>
      <c r="H92" s="28" t="str">
        <f aca="false">IF(OR(F94="",G94=""),"",F94/G94)</f>
        <v/>
      </c>
      <c r="I92" s="29" t="str">
        <f aca="false">IF(B94="","",IFERROR(VLOOKUP(B94,Settings!$E$19:$F$23,2,FALSE()),0))</f>
        <v/>
      </c>
      <c r="J92" s="28" t="str">
        <f aca="false">IF(H94="","",IF(OR(B94="Deposit",B94="Cash In"),H94,-(H94/MAX(1-I94,0.0001))))</f>
        <v/>
      </c>
      <c r="K92" s="30" t="str">
        <f aca="false">IF(J94="","",IF(ISNUMBER(K93),K93,Settings!$C$4)+J94)</f>
        <v/>
      </c>
      <c r="L92" s="31"/>
    </row>
    <row r="93" customFormat="false" ht="27.75" hidden="false" customHeight="true" outlineLevel="0" collapsed="false">
      <c r="A93" s="32"/>
      <c r="B93" s="32"/>
      <c r="C93" s="32"/>
      <c r="D93" s="32"/>
      <c r="E93" s="33"/>
      <c r="F93" s="34"/>
      <c r="G93" s="27" t="str">
        <f aca="false">IF(E95="","",IFERROR(VLOOKUP(E95,Settings!$A$7:$B$17,2,FALSE()),1))</f>
        <v/>
      </c>
      <c r="H93" s="28" t="str">
        <f aca="false">IF(OR(F95="",G95=""),"",F95/G95)</f>
        <v/>
      </c>
      <c r="I93" s="29" t="str">
        <f aca="false">IF(B95="","",IFERROR(VLOOKUP(B95,Settings!$E$19:$F$23,2,FALSE()),0))</f>
        <v/>
      </c>
      <c r="J93" s="28" t="str">
        <f aca="false">IF(H95="","",IF(OR(B95="Deposit",B95="Cash In"),H95,-(H95/MAX(1-I95,0.0001))))</f>
        <v/>
      </c>
      <c r="K93" s="30" t="str">
        <f aca="false">IF(J95="","",IF(ISNUMBER(K94),K94,Settings!$C$4)+J95)</f>
        <v/>
      </c>
      <c r="L93" s="31"/>
    </row>
    <row r="94" customFormat="false" ht="27.75" hidden="false" customHeight="true" outlineLevel="0" collapsed="false">
      <c r="A94" s="32"/>
      <c r="B94" s="32"/>
      <c r="C94" s="32"/>
      <c r="D94" s="32"/>
      <c r="E94" s="33"/>
      <c r="F94" s="34"/>
      <c r="G94" s="27" t="str">
        <f aca="false">IF(E96="","",IFERROR(VLOOKUP(E96,Settings!$A$7:$B$17,2,FALSE()),1))</f>
        <v/>
      </c>
      <c r="H94" s="28" t="str">
        <f aca="false">IF(OR(F96="",G96=""),"",F96/G96)</f>
        <v/>
      </c>
      <c r="I94" s="29" t="str">
        <f aca="false">IF(B96="","",IFERROR(VLOOKUP(B96,Settings!$E$19:$F$23,2,FALSE()),0))</f>
        <v/>
      </c>
      <c r="J94" s="28" t="str">
        <f aca="false">IF(H96="","",IF(OR(B96="Deposit",B96="Cash In"),H96,-(H96/MAX(1-I96,0.0001))))</f>
        <v/>
      </c>
      <c r="K94" s="30" t="str">
        <f aca="false">IF(J96="","",IF(ISNUMBER(K95),K95,Settings!$C$4)+J96)</f>
        <v/>
      </c>
      <c r="L94" s="31"/>
    </row>
    <row r="95" customFormat="false" ht="27.75" hidden="false" customHeight="true" outlineLevel="0" collapsed="false">
      <c r="A95" s="32"/>
      <c r="B95" s="32"/>
      <c r="C95" s="32"/>
      <c r="D95" s="32"/>
      <c r="E95" s="33"/>
      <c r="F95" s="34"/>
      <c r="G95" s="27" t="str">
        <f aca="false">IF(E97="","",IFERROR(VLOOKUP(E97,Settings!$A$7:$B$17,2,FALSE()),1))</f>
        <v/>
      </c>
      <c r="H95" s="28" t="str">
        <f aca="false">IF(OR(F97="",G97=""),"",F97/G97)</f>
        <v/>
      </c>
      <c r="I95" s="29" t="str">
        <f aca="false">IF(B97="","",IFERROR(VLOOKUP(B97,Settings!$E$19:$F$23,2,FALSE()),0))</f>
        <v/>
      </c>
      <c r="J95" s="28" t="str">
        <f aca="false">IF(H97="","",IF(OR(B97="Deposit",B97="Cash In"),H97,-(H97/MAX(1-I97,0.0001))))</f>
        <v/>
      </c>
      <c r="K95" s="30" t="str">
        <f aca="false">IF(J97="","",IF(ISNUMBER(K96),K96,Settings!$C$4)+J97)</f>
        <v/>
      </c>
      <c r="L95" s="31"/>
    </row>
    <row r="96" customFormat="false" ht="27.75" hidden="false" customHeight="true" outlineLevel="0" collapsed="false">
      <c r="A96" s="32"/>
      <c r="B96" s="32"/>
      <c r="C96" s="32"/>
      <c r="D96" s="32"/>
      <c r="E96" s="33"/>
      <c r="F96" s="34"/>
      <c r="G96" s="27" t="str">
        <f aca="false">IF(E98="","",IFERROR(VLOOKUP(E98,Settings!$A$7:$B$17,2,FALSE()),1))</f>
        <v/>
      </c>
      <c r="H96" s="28" t="str">
        <f aca="false">IF(OR(F98="",G98=""),"",F98/G98)</f>
        <v/>
      </c>
      <c r="I96" s="29" t="str">
        <f aca="false">IF(B98="","",IFERROR(VLOOKUP(B98,Settings!$E$19:$F$23,2,FALSE()),0))</f>
        <v/>
      </c>
      <c r="J96" s="28" t="str">
        <f aca="false">IF(H98="","",IF(OR(B98="Deposit",B98="Cash In"),H98,-(H98/MAX(1-I98,0.0001))))</f>
        <v/>
      </c>
      <c r="K96" s="30" t="str">
        <f aca="false">IF(J98="","",IF(ISNUMBER(K97),K97,Settings!$C$4)+J98)</f>
        <v/>
      </c>
      <c r="L96" s="31"/>
    </row>
    <row r="97" customFormat="false" ht="27.75" hidden="false" customHeight="true" outlineLevel="0" collapsed="false">
      <c r="A97" s="32"/>
      <c r="B97" s="32"/>
      <c r="C97" s="32"/>
      <c r="D97" s="32"/>
      <c r="E97" s="33"/>
      <c r="F97" s="34"/>
      <c r="G97" s="27" t="str">
        <f aca="false">IF(E99="","",IFERROR(VLOOKUP(E99,Settings!$A$7:$B$17,2,FALSE()),1))</f>
        <v/>
      </c>
      <c r="H97" s="28" t="str">
        <f aca="false">IF(OR(F99="",G99=""),"",F99/G99)</f>
        <v/>
      </c>
      <c r="I97" s="29" t="str">
        <f aca="false">IF(B99="","",IFERROR(VLOOKUP(B99,Settings!$E$19:$F$23,2,FALSE()),0))</f>
        <v/>
      </c>
      <c r="J97" s="28" t="str">
        <f aca="false">IF(H99="","",IF(OR(B99="Deposit",B99="Cash In"),H99,-(H99/MAX(1-I99,0.0001))))</f>
        <v/>
      </c>
      <c r="K97" s="30" t="str">
        <f aca="false">IF(J99="","",IF(ISNUMBER(K98),K98,Settings!$C$4)+J99)</f>
        <v/>
      </c>
      <c r="L97" s="31"/>
    </row>
    <row r="98" customFormat="false" ht="27.75" hidden="false" customHeight="true" outlineLevel="0" collapsed="false">
      <c r="A98" s="32"/>
      <c r="B98" s="32"/>
      <c r="C98" s="32"/>
      <c r="D98" s="32"/>
      <c r="E98" s="33"/>
      <c r="F98" s="34"/>
      <c r="G98" s="27" t="str">
        <f aca="false">IF(E100="","",IFERROR(VLOOKUP(E100,Settings!$A$7:$B$17,2,FALSE()),1))</f>
        <v/>
      </c>
      <c r="H98" s="28" t="str">
        <f aca="false">IF(OR(F100="",G100=""),"",F100/G100)</f>
        <v/>
      </c>
      <c r="I98" s="29" t="str">
        <f aca="false">IF(B100="","",IFERROR(VLOOKUP(B100,Settings!$E$19:$F$23,2,FALSE()),0))</f>
        <v/>
      </c>
      <c r="J98" s="28" t="str">
        <f aca="false">IF(H100="","",IF(OR(B100="Deposit",B100="Cash In"),H100,-(H100/MAX(1-I100,0.0001))))</f>
        <v/>
      </c>
      <c r="K98" s="30" t="str">
        <f aca="false">IF(J100="","",IF(ISNUMBER(K99),K99,Settings!$C$4)+J100)</f>
        <v/>
      </c>
      <c r="L98" s="31"/>
    </row>
    <row r="99" customFormat="false" ht="27.75" hidden="false" customHeight="true" outlineLevel="0" collapsed="false">
      <c r="A99" s="32"/>
      <c r="B99" s="32"/>
      <c r="C99" s="32"/>
      <c r="D99" s="32"/>
      <c r="E99" s="33"/>
      <c r="F99" s="34"/>
      <c r="G99" s="27" t="str">
        <f aca="false">IF(E101="","",IFERROR(VLOOKUP(E101,Settings!$A$7:$B$17,2,FALSE()),1))</f>
        <v/>
      </c>
      <c r="H99" s="28" t="str">
        <f aca="false">IF(OR(F101="",G101=""),"",F101/G101)</f>
        <v/>
      </c>
      <c r="I99" s="29" t="str">
        <f aca="false">IF(B101="","",IFERROR(VLOOKUP(B101,Settings!$E$19:$F$23,2,FALSE()),0))</f>
        <v/>
      </c>
      <c r="J99" s="28" t="str">
        <f aca="false">IF(H101="","",IF(OR(B101="Deposit",B101="Cash In"),H101,-(H101/MAX(1-I101,0.0001))))</f>
        <v/>
      </c>
      <c r="K99" s="30" t="str">
        <f aca="false">IF(J101="","",IF(ISNUMBER(K100),K100,Settings!$C$4)+J101)</f>
        <v/>
      </c>
      <c r="L99" s="31"/>
    </row>
    <row r="100" customFormat="false" ht="27.75" hidden="false" customHeight="true" outlineLevel="0" collapsed="false">
      <c r="A100" s="32"/>
      <c r="B100" s="32"/>
      <c r="C100" s="32"/>
      <c r="D100" s="32"/>
      <c r="E100" s="33"/>
      <c r="F100" s="34"/>
      <c r="G100" s="27" t="str">
        <f aca="false">IF(E102="","",IFERROR(VLOOKUP(E102,Settings!$A$7:$B$17,2,FALSE()),1))</f>
        <v/>
      </c>
      <c r="H100" s="28" t="str">
        <f aca="false">IF(OR(F102="",G102=""),"",F102/G102)</f>
        <v/>
      </c>
      <c r="I100" s="29" t="str">
        <f aca="false">IF(B102="","",IFERROR(VLOOKUP(B102,Settings!$E$19:$F$23,2,FALSE()),0))</f>
        <v/>
      </c>
      <c r="J100" s="28" t="str">
        <f aca="false">IF(H102="","",IF(OR(B102="Deposit",B102="Cash In"),H102,-(H102/MAX(1-I102,0.0001))))</f>
        <v/>
      </c>
      <c r="K100" s="30" t="str">
        <f aca="false">IF(J102="","",IF(ISNUMBER(K101),K101,Settings!$C$4)+J102)</f>
        <v/>
      </c>
      <c r="L100" s="31"/>
    </row>
    <row r="101" customFormat="false" ht="27.75" hidden="false" customHeight="true" outlineLevel="0" collapsed="false">
      <c r="A101" s="32"/>
      <c r="B101" s="32"/>
      <c r="C101" s="32"/>
      <c r="D101" s="32"/>
      <c r="E101" s="33"/>
      <c r="F101" s="34"/>
      <c r="G101" s="27" t="str">
        <f aca="false">IF(E103="","",IFERROR(VLOOKUP(E103,Settings!$A$7:$B$17,2,FALSE()),1))</f>
        <v/>
      </c>
      <c r="H101" s="28" t="str">
        <f aca="false">IF(OR(F103="",G103=""),"",F103/G103)</f>
        <v/>
      </c>
      <c r="I101" s="29" t="str">
        <f aca="false">IF(B103="","",IFERROR(VLOOKUP(B103,Settings!$E$19:$F$23,2,FALSE()),0))</f>
        <v/>
      </c>
      <c r="J101" s="28" t="str">
        <f aca="false">IF(H103="","",IF(OR(B103="Deposit",B103="Cash In"),H103,-(H103/MAX(1-I103,0.0001))))</f>
        <v/>
      </c>
      <c r="K101" s="30" t="str">
        <f aca="false">IF(J103="","",IF(ISNUMBER(K102),K102,Settings!$C$4)+J103)</f>
        <v/>
      </c>
      <c r="L101" s="31"/>
    </row>
    <row r="102" customFormat="false" ht="27.75" hidden="false" customHeight="true" outlineLevel="0" collapsed="false">
      <c r="A102" s="32"/>
      <c r="B102" s="32"/>
      <c r="C102" s="32"/>
      <c r="D102" s="32"/>
      <c r="E102" s="33"/>
      <c r="F102" s="34"/>
      <c r="G102" s="27" t="str">
        <f aca="false">IF(E104="","",IFERROR(VLOOKUP(E104,Settings!$A$7:$B$17,2,FALSE()),1))</f>
        <v/>
      </c>
      <c r="H102" s="28" t="str">
        <f aca="false">IF(OR(F104="",G104=""),"",F104/G104)</f>
        <v/>
      </c>
      <c r="I102" s="29" t="str">
        <f aca="false">IF(B104="","",IFERROR(VLOOKUP(B104,Settings!$E$19:$F$23,2,FALSE()),0))</f>
        <v/>
      </c>
      <c r="J102" s="28" t="str">
        <f aca="false">IF(H104="","",IF(OR(B104="Deposit",B104="Cash In"),H104,-(H104/MAX(1-I104,0.0001))))</f>
        <v/>
      </c>
      <c r="K102" s="30" t="str">
        <f aca="false">IF(J104="","",IF(ISNUMBER(K103),K103,Settings!$C$4)+J104)</f>
        <v/>
      </c>
      <c r="L102" s="31"/>
    </row>
    <row r="103" customFormat="false" ht="27.75" hidden="false" customHeight="true" outlineLevel="0" collapsed="false">
      <c r="A103" s="32"/>
      <c r="B103" s="32"/>
      <c r="C103" s="32"/>
      <c r="D103" s="32"/>
      <c r="E103" s="33"/>
      <c r="F103" s="34"/>
      <c r="G103" s="27" t="str">
        <f aca="false">IF(E105="","",IFERROR(VLOOKUP(E105,Settings!$A$7:$B$17,2,FALSE()),1))</f>
        <v/>
      </c>
      <c r="H103" s="28" t="str">
        <f aca="false">IF(OR(F105="",G105=""),"",F105/G105)</f>
        <v/>
      </c>
      <c r="I103" s="29" t="str">
        <f aca="false">IF(B105="","",IFERROR(VLOOKUP(B105,Settings!$E$19:$F$23,2,FALSE()),0))</f>
        <v/>
      </c>
      <c r="J103" s="28" t="str">
        <f aca="false">IF(H105="","",IF(OR(B105="Deposit",B105="Cash In"),H105,-(H105/MAX(1-I105,0.0001))))</f>
        <v/>
      </c>
      <c r="K103" s="30" t="str">
        <f aca="false">IF(J105="","",IF(ISNUMBER(K104),K104,Settings!$C$4)+J105)</f>
        <v/>
      </c>
      <c r="L103" s="31"/>
    </row>
    <row r="104" customFormat="false" ht="27.75" hidden="false" customHeight="true" outlineLevel="0" collapsed="false">
      <c r="A104" s="32"/>
      <c r="B104" s="32"/>
      <c r="C104" s="32"/>
      <c r="D104" s="32"/>
      <c r="E104" s="33"/>
      <c r="F104" s="34"/>
      <c r="G104" s="27" t="str">
        <f aca="false">IF(E106="","",IFERROR(VLOOKUP(E106,Settings!$A$7:$B$17,2,FALSE()),1))</f>
        <v/>
      </c>
      <c r="H104" s="28" t="str">
        <f aca="false">IF(OR(F106="",G106=""),"",F106/G106)</f>
        <v/>
      </c>
      <c r="I104" s="29" t="str">
        <f aca="false">IF(B106="","",IFERROR(VLOOKUP(B106,Settings!$E$19:$F$23,2,FALSE()),0))</f>
        <v/>
      </c>
      <c r="J104" s="28" t="str">
        <f aca="false">IF(H106="","",IF(OR(B106="Deposit",B106="Cash In"),H106,-(H106/MAX(1-I106,0.0001))))</f>
        <v/>
      </c>
      <c r="K104" s="30" t="str">
        <f aca="false">IF(J106="","",IF(ISNUMBER(K105),K105,Settings!$C$4)+J106)</f>
        <v/>
      </c>
      <c r="L104" s="31"/>
    </row>
    <row r="105" customFormat="false" ht="27.75" hidden="false" customHeight="true" outlineLevel="0" collapsed="false">
      <c r="A105" s="32"/>
      <c r="B105" s="32"/>
      <c r="C105" s="32"/>
      <c r="D105" s="32"/>
      <c r="E105" s="33"/>
      <c r="F105" s="34"/>
      <c r="G105" s="27" t="str">
        <f aca="false">IF(E107="","",IFERROR(VLOOKUP(E107,Settings!$A$7:$B$17,2,FALSE()),1))</f>
        <v/>
      </c>
      <c r="H105" s="28" t="str">
        <f aca="false">IF(OR(F107="",G107=""),"",F107/G107)</f>
        <v/>
      </c>
      <c r="I105" s="29" t="str">
        <f aca="false">IF(B107="","",IFERROR(VLOOKUP(B107,Settings!$E$19:$F$23,2,FALSE()),0))</f>
        <v/>
      </c>
      <c r="J105" s="28" t="str">
        <f aca="false">IF(H107="","",IF(OR(B107="Deposit",B107="Cash In"),H107,-(H107/MAX(1-I107,0.0001))))</f>
        <v/>
      </c>
      <c r="K105" s="30" t="str">
        <f aca="false">IF(J107="","",IF(ISNUMBER(K106),K106,Settings!$C$4)+J107)</f>
        <v/>
      </c>
      <c r="L105" s="31"/>
    </row>
    <row r="106" customFormat="false" ht="27.75" hidden="false" customHeight="true" outlineLevel="0" collapsed="false">
      <c r="A106" s="32"/>
      <c r="B106" s="32"/>
      <c r="C106" s="32"/>
      <c r="D106" s="32"/>
      <c r="E106" s="33"/>
      <c r="F106" s="34"/>
      <c r="G106" s="27" t="str">
        <f aca="false">IF(E108="","",IFERROR(VLOOKUP(E108,Settings!$A$7:$B$17,2,FALSE()),1))</f>
        <v/>
      </c>
      <c r="H106" s="28" t="str">
        <f aca="false">IF(OR(F108="",G108=""),"",F108/G108)</f>
        <v/>
      </c>
      <c r="I106" s="29" t="str">
        <f aca="false">IF(B108="","",IFERROR(VLOOKUP(B108,Settings!$E$19:$F$23,2,FALSE()),0))</f>
        <v/>
      </c>
      <c r="J106" s="28" t="str">
        <f aca="false">IF(H108="","",IF(OR(B108="Deposit",B108="Cash In"),H108,-(H108/MAX(1-I108,0.0001))))</f>
        <v/>
      </c>
      <c r="K106" s="30" t="str">
        <f aca="false">IF(J108="","",IF(ISNUMBER(K107),K107,Settings!$C$4)+J108)</f>
        <v/>
      </c>
      <c r="L106" s="31"/>
    </row>
    <row r="107" customFormat="false" ht="27.75" hidden="false" customHeight="true" outlineLevel="0" collapsed="false">
      <c r="A107" s="32"/>
      <c r="B107" s="32"/>
      <c r="C107" s="32"/>
      <c r="D107" s="32"/>
      <c r="E107" s="33"/>
      <c r="F107" s="34"/>
      <c r="G107" s="27" t="str">
        <f aca="false">IF(E109="","",IFERROR(VLOOKUP(E109,Settings!$A$7:$B$17,2,FALSE()),1))</f>
        <v/>
      </c>
      <c r="H107" s="28" t="str">
        <f aca="false">IF(OR(F109="",G109=""),"",F109/G109)</f>
        <v/>
      </c>
      <c r="I107" s="29" t="str">
        <f aca="false">IF(B109="","",IFERROR(VLOOKUP(B109,Settings!$E$19:$F$23,2,FALSE()),0))</f>
        <v/>
      </c>
      <c r="J107" s="28" t="str">
        <f aca="false">IF(H109="","",IF(OR(B109="Deposit",B109="Cash In"),H109,-(H109/MAX(1-I109,0.0001))))</f>
        <v/>
      </c>
      <c r="K107" s="30" t="str">
        <f aca="false">IF(J109="","",IF(ISNUMBER(K108),K108,Settings!$C$4)+J109)</f>
        <v/>
      </c>
      <c r="L107" s="31"/>
    </row>
    <row r="108" customFormat="false" ht="27.75" hidden="false" customHeight="true" outlineLevel="0" collapsed="false">
      <c r="A108" s="32"/>
      <c r="B108" s="32"/>
      <c r="C108" s="32"/>
      <c r="D108" s="32"/>
      <c r="E108" s="33"/>
      <c r="F108" s="34"/>
      <c r="G108" s="27" t="str">
        <f aca="false">IF(E110="","",IFERROR(VLOOKUP(E110,Settings!$A$7:$B$17,2,FALSE()),1))</f>
        <v/>
      </c>
      <c r="H108" s="28" t="str">
        <f aca="false">IF(OR(F110="",G110=""),"",F110/G110)</f>
        <v/>
      </c>
      <c r="I108" s="29" t="str">
        <f aca="false">IF(B110="","",IFERROR(VLOOKUP(B110,Settings!$E$19:$F$23,2,FALSE()),0))</f>
        <v/>
      </c>
      <c r="J108" s="28" t="str">
        <f aca="false">IF(H110="","",IF(OR(B110="Deposit",B110="Cash In"),H110,-(H110/MAX(1-I110,0.0001))))</f>
        <v/>
      </c>
      <c r="K108" s="30" t="str">
        <f aca="false">IF(J110="","",IF(ISNUMBER(K109),K109,Settings!$C$4)+J110)</f>
        <v/>
      </c>
      <c r="L108" s="31"/>
    </row>
    <row r="109" customFormat="false" ht="27.75" hidden="false" customHeight="true" outlineLevel="0" collapsed="false">
      <c r="A109" s="32"/>
      <c r="B109" s="32"/>
      <c r="C109" s="32"/>
      <c r="D109" s="32"/>
      <c r="E109" s="33"/>
      <c r="F109" s="34"/>
      <c r="G109" s="27" t="str">
        <f aca="false">IF(E111="","",IFERROR(VLOOKUP(E111,Settings!$A$7:$B$17,2,FALSE()),1))</f>
        <v/>
      </c>
      <c r="H109" s="28" t="str">
        <f aca="false">IF(OR(F111="",G111=""),"",F111/G111)</f>
        <v/>
      </c>
      <c r="I109" s="29" t="str">
        <f aca="false">IF(B111="","",IFERROR(VLOOKUP(B111,Settings!$E$19:$F$23,2,FALSE()),0))</f>
        <v/>
      </c>
      <c r="J109" s="28" t="str">
        <f aca="false">IF(H111="","",IF(OR(B111="Deposit",B111="Cash In"),H111,-(H111/MAX(1-I111,0.0001))))</f>
        <v/>
      </c>
      <c r="K109" s="30" t="str">
        <f aca="false">IF(J111="","",IF(ISNUMBER(K110),K110,Settings!$C$4)+J111)</f>
        <v/>
      </c>
      <c r="L109" s="31"/>
    </row>
    <row r="110" customFormat="false" ht="27.75" hidden="false" customHeight="true" outlineLevel="0" collapsed="false">
      <c r="A110" s="32"/>
      <c r="B110" s="32"/>
      <c r="C110" s="32"/>
      <c r="D110" s="32"/>
      <c r="E110" s="33"/>
      <c r="F110" s="34"/>
      <c r="G110" s="27" t="str">
        <f aca="false">IF(E112="","",IFERROR(VLOOKUP(E112,Settings!$A$7:$B$17,2,FALSE()),1))</f>
        <v/>
      </c>
      <c r="H110" s="28" t="str">
        <f aca="false">IF(OR(F112="",G112=""),"",F112/G112)</f>
        <v/>
      </c>
      <c r="I110" s="29" t="str">
        <f aca="false">IF(B112="","",IFERROR(VLOOKUP(B112,Settings!$E$19:$F$23,2,FALSE()),0))</f>
        <v/>
      </c>
      <c r="J110" s="28" t="str">
        <f aca="false">IF(H112="","",IF(OR(B112="Deposit",B112="Cash In"),H112,-(H112/MAX(1-I112,0.0001))))</f>
        <v/>
      </c>
      <c r="K110" s="30" t="str">
        <f aca="false">IF(J112="","",IF(ISNUMBER(K111),K111,Settings!$C$4)+J112)</f>
        <v/>
      </c>
      <c r="L110" s="31"/>
    </row>
    <row r="111" customFormat="false" ht="27.75" hidden="false" customHeight="true" outlineLevel="0" collapsed="false">
      <c r="A111" s="32"/>
      <c r="B111" s="32"/>
      <c r="C111" s="32"/>
      <c r="D111" s="32"/>
      <c r="E111" s="33"/>
      <c r="F111" s="34"/>
      <c r="G111" s="27" t="str">
        <f aca="false">IF(E113="","",IFERROR(VLOOKUP(E113,Settings!$A$7:$B$17,2,FALSE()),1))</f>
        <v/>
      </c>
      <c r="H111" s="28" t="str">
        <f aca="false">IF(OR(F113="",G113=""),"",F113/G113)</f>
        <v/>
      </c>
      <c r="I111" s="29" t="str">
        <f aca="false">IF(B113="","",IFERROR(VLOOKUP(B113,Settings!$E$19:$F$23,2,FALSE()),0))</f>
        <v/>
      </c>
      <c r="J111" s="28" t="str">
        <f aca="false">IF(H113="","",IF(OR(B113="Deposit",B113="Cash In"),H113,-(H113/MAX(1-I113,0.0001))))</f>
        <v/>
      </c>
      <c r="K111" s="30" t="str">
        <f aca="false">IF(J113="","",IF(ISNUMBER(K112),K112,Settings!$C$4)+J113)</f>
        <v/>
      </c>
      <c r="L111" s="31"/>
    </row>
    <row r="112" customFormat="false" ht="27.75" hidden="false" customHeight="true" outlineLevel="0" collapsed="false">
      <c r="A112" s="32"/>
      <c r="B112" s="32"/>
      <c r="C112" s="32"/>
      <c r="D112" s="32"/>
      <c r="E112" s="33"/>
      <c r="F112" s="34"/>
      <c r="G112" s="27" t="str">
        <f aca="false">IF(E114="","",IFERROR(VLOOKUP(E114,Settings!$A$7:$B$17,2,FALSE()),1))</f>
        <v/>
      </c>
      <c r="H112" s="28" t="str">
        <f aca="false">IF(OR(F114="",G114=""),"",F114/G114)</f>
        <v/>
      </c>
      <c r="I112" s="29" t="str">
        <f aca="false">IF(B114="","",IFERROR(VLOOKUP(B114,Settings!$E$19:$F$23,2,FALSE()),0))</f>
        <v/>
      </c>
      <c r="J112" s="28" t="str">
        <f aca="false">IF(H114="","",IF(OR(B114="Deposit",B114="Cash In"),H114,-(H114/MAX(1-I114,0.0001))))</f>
        <v/>
      </c>
      <c r="K112" s="30" t="str">
        <f aca="false">IF(J114="","",IF(ISNUMBER(K113),K113,Settings!$C$4)+J114)</f>
        <v/>
      </c>
      <c r="L112" s="31"/>
    </row>
    <row r="113" customFormat="false" ht="27.75" hidden="false" customHeight="true" outlineLevel="0" collapsed="false">
      <c r="A113" s="32"/>
      <c r="B113" s="32"/>
      <c r="C113" s="32"/>
      <c r="D113" s="32"/>
      <c r="E113" s="33"/>
      <c r="F113" s="34"/>
      <c r="G113" s="27" t="str">
        <f aca="false">IF(E115="","",IFERROR(VLOOKUP(E115,Settings!$A$7:$B$17,2,FALSE()),1))</f>
        <v/>
      </c>
      <c r="H113" s="28" t="str">
        <f aca="false">IF(OR(F115="",G115=""),"",F115/G115)</f>
        <v/>
      </c>
      <c r="I113" s="29" t="str">
        <f aca="false">IF(B115="","",IFERROR(VLOOKUP(B115,Settings!$E$19:$F$23,2,FALSE()),0))</f>
        <v/>
      </c>
      <c r="J113" s="28" t="str">
        <f aca="false">IF(H115="","",IF(OR(B115="Deposit",B115="Cash In"),H115,-(H115/MAX(1-I115,0.0001))))</f>
        <v/>
      </c>
      <c r="K113" s="30" t="str">
        <f aca="false">IF(J115="","",IF(ISNUMBER(K114),K114,Settings!$C$4)+J115)</f>
        <v/>
      </c>
      <c r="L113" s="31"/>
    </row>
    <row r="114" customFormat="false" ht="27.75" hidden="false" customHeight="true" outlineLevel="0" collapsed="false">
      <c r="A114" s="32"/>
      <c r="B114" s="32"/>
      <c r="C114" s="32"/>
      <c r="D114" s="32"/>
      <c r="E114" s="33"/>
      <c r="F114" s="34"/>
      <c r="G114" s="27" t="str">
        <f aca="false">IF(E116="","",IFERROR(VLOOKUP(E116,Settings!$A$7:$B$17,2,FALSE()),1))</f>
        <v/>
      </c>
      <c r="H114" s="28" t="str">
        <f aca="false">IF(OR(F116="",G116=""),"",F116/G116)</f>
        <v/>
      </c>
      <c r="I114" s="29" t="str">
        <f aca="false">IF(B116="","",IFERROR(VLOOKUP(B116,Settings!$E$19:$F$23,2,FALSE()),0))</f>
        <v/>
      </c>
      <c r="J114" s="28" t="str">
        <f aca="false">IF(H116="","",IF(OR(B116="Deposit",B116="Cash In"),H116,-(H116/MAX(1-I116,0.0001))))</f>
        <v/>
      </c>
      <c r="K114" s="30" t="str">
        <f aca="false">IF(J116="","",IF(ISNUMBER(K115),K115,Settings!$C$4)+J116)</f>
        <v/>
      </c>
      <c r="L114" s="31"/>
    </row>
    <row r="115" customFormat="false" ht="27.75" hidden="false" customHeight="true" outlineLevel="0" collapsed="false">
      <c r="A115" s="32"/>
      <c r="B115" s="32"/>
      <c r="C115" s="32"/>
      <c r="D115" s="32"/>
      <c r="E115" s="33"/>
      <c r="F115" s="34"/>
      <c r="G115" s="27" t="str">
        <f aca="false">IF(E117="","",IFERROR(VLOOKUP(E117,Settings!$A$7:$B$17,2,FALSE()),1))</f>
        <v/>
      </c>
      <c r="H115" s="28" t="str">
        <f aca="false">IF(OR(F117="",G117=""),"",F117/G117)</f>
        <v/>
      </c>
      <c r="I115" s="29" t="str">
        <f aca="false">IF(B117="","",IFERROR(VLOOKUP(B117,Settings!$E$19:$F$23,2,FALSE()),0))</f>
        <v/>
      </c>
      <c r="J115" s="28" t="str">
        <f aca="false">IF(H117="","",IF(OR(B117="Deposit",B117="Cash In"),H117,-(H117/MAX(1-I117,0.0001))))</f>
        <v/>
      </c>
      <c r="K115" s="30" t="str">
        <f aca="false">IF(J117="","",IF(ISNUMBER(K116),K116,Settings!$C$4)+J117)</f>
        <v/>
      </c>
      <c r="L115" s="31"/>
    </row>
    <row r="116" customFormat="false" ht="27.75" hidden="false" customHeight="true" outlineLevel="0" collapsed="false">
      <c r="A116" s="32"/>
      <c r="B116" s="32"/>
      <c r="C116" s="32"/>
      <c r="D116" s="32"/>
      <c r="E116" s="33"/>
      <c r="F116" s="34"/>
      <c r="G116" s="27" t="str">
        <f aca="false">IF(E118="","",IFERROR(VLOOKUP(E118,Settings!$A$7:$B$17,2,FALSE()),1))</f>
        <v/>
      </c>
      <c r="H116" s="28" t="str">
        <f aca="false">IF(OR(F118="",G118=""),"",F118/G118)</f>
        <v/>
      </c>
      <c r="I116" s="29" t="str">
        <f aca="false">IF(B118="","",IFERROR(VLOOKUP(B118,Settings!$E$19:$F$23,2,FALSE()),0))</f>
        <v/>
      </c>
      <c r="J116" s="28" t="str">
        <f aca="false">IF(H118="","",IF(OR(B118="Deposit",B118="Cash In"),H118,-(H118/MAX(1-I118,0.0001))))</f>
        <v/>
      </c>
      <c r="K116" s="30" t="str">
        <f aca="false">IF(J118="","",IF(ISNUMBER(K117),K117,Settings!$C$4)+J118)</f>
        <v/>
      </c>
      <c r="L116" s="31"/>
    </row>
    <row r="117" customFormat="false" ht="27.75" hidden="false" customHeight="true" outlineLevel="0" collapsed="false">
      <c r="A117" s="32"/>
      <c r="B117" s="32"/>
      <c r="C117" s="32"/>
      <c r="D117" s="32"/>
      <c r="E117" s="33"/>
      <c r="F117" s="34"/>
      <c r="G117" s="27" t="str">
        <f aca="false">IF(E119="","",IFERROR(VLOOKUP(E119,Settings!$A$7:$B$17,2,FALSE()),1))</f>
        <v/>
      </c>
      <c r="H117" s="28" t="str">
        <f aca="false">IF(OR(F119="",G119=""),"",F119/G119)</f>
        <v/>
      </c>
      <c r="I117" s="29" t="str">
        <f aca="false">IF(B119="","",IFERROR(VLOOKUP(B119,Settings!$E$19:$F$23,2,FALSE()),0))</f>
        <v/>
      </c>
      <c r="J117" s="28" t="str">
        <f aca="false">IF(H119="","",IF(OR(B119="Deposit",B119="Cash In"),H119,-(H119/MAX(1-I119,0.0001))))</f>
        <v/>
      </c>
      <c r="K117" s="30" t="str">
        <f aca="false">IF(J119="","",IF(ISNUMBER(K118),K118,Settings!$C$4)+J119)</f>
        <v/>
      </c>
      <c r="L117" s="31"/>
    </row>
    <row r="118" customFormat="false" ht="27.75" hidden="false" customHeight="true" outlineLevel="0" collapsed="false">
      <c r="A118" s="32"/>
      <c r="B118" s="32"/>
      <c r="C118" s="32"/>
      <c r="D118" s="32"/>
      <c r="E118" s="33"/>
      <c r="F118" s="34"/>
      <c r="G118" s="27" t="str">
        <f aca="false">IF(E120="","",IFERROR(VLOOKUP(E120,Settings!$A$7:$B$17,2,FALSE()),1))</f>
        <v/>
      </c>
      <c r="H118" s="28" t="str">
        <f aca="false">IF(OR(F120="",G120=""),"",F120/G120)</f>
        <v/>
      </c>
      <c r="I118" s="29" t="str">
        <f aca="false">IF(B120="","",IFERROR(VLOOKUP(B120,Settings!$E$19:$F$23,2,FALSE()),0))</f>
        <v/>
      </c>
      <c r="J118" s="28" t="str">
        <f aca="false">IF(H120="","",IF(OR(B120="Deposit",B120="Cash In"),H120,-(H120/MAX(1-I120,0.0001))))</f>
        <v/>
      </c>
      <c r="K118" s="30" t="str">
        <f aca="false">IF(J120="","",IF(ISNUMBER(K119),K119,Settings!$C$4)+J120)</f>
        <v/>
      </c>
      <c r="L118" s="31"/>
    </row>
    <row r="119" customFormat="false" ht="27.75" hidden="false" customHeight="true" outlineLevel="0" collapsed="false">
      <c r="A119" s="32"/>
      <c r="B119" s="32"/>
      <c r="C119" s="32"/>
      <c r="D119" s="32"/>
      <c r="E119" s="33"/>
      <c r="F119" s="34"/>
      <c r="G119" s="27" t="str">
        <f aca="false">IF(E121="","",IFERROR(VLOOKUP(E121,Settings!$A$7:$B$17,2,FALSE()),1))</f>
        <v/>
      </c>
      <c r="H119" s="28" t="str">
        <f aca="false">IF(OR(F121="",G121=""),"",F121/G121)</f>
        <v/>
      </c>
      <c r="I119" s="29" t="str">
        <f aca="false">IF(B121="","",IFERROR(VLOOKUP(B121,Settings!$E$19:$F$23,2,FALSE()),0))</f>
        <v/>
      </c>
      <c r="J119" s="28" t="str">
        <f aca="false">IF(H121="","",IF(OR(B121="Deposit",B121="Cash In"),H121,-(H121/MAX(1-I121,0.0001))))</f>
        <v/>
      </c>
      <c r="K119" s="30" t="str">
        <f aca="false">IF(J121="","",IF(ISNUMBER(K120),K120,Settings!$C$4)+J121)</f>
        <v/>
      </c>
      <c r="L119" s="31"/>
    </row>
    <row r="120" customFormat="false" ht="27.75" hidden="false" customHeight="true" outlineLevel="0" collapsed="false">
      <c r="A120" s="32"/>
      <c r="B120" s="32"/>
      <c r="C120" s="32"/>
      <c r="D120" s="32"/>
      <c r="E120" s="33"/>
      <c r="F120" s="34"/>
      <c r="G120" s="27" t="str">
        <f aca="false">IF(E122="","",IFERROR(VLOOKUP(E122,Settings!$A$7:$B$17,2,FALSE()),1))</f>
        <v/>
      </c>
      <c r="H120" s="28" t="str">
        <f aca="false">IF(OR(F122="",G122=""),"",F122/G122)</f>
        <v/>
      </c>
      <c r="I120" s="29" t="str">
        <f aca="false">IF(B122="","",IFERROR(VLOOKUP(B122,Settings!$E$19:$F$23,2,FALSE()),0))</f>
        <v/>
      </c>
      <c r="J120" s="28" t="str">
        <f aca="false">IF(H122="","",IF(OR(B122="Deposit",B122="Cash In"),H122,-(H122/MAX(1-I122,0.0001))))</f>
        <v/>
      </c>
      <c r="K120" s="30" t="str">
        <f aca="false">IF(J122="","",IF(ISNUMBER(K121),K121,Settings!$C$4)+J122)</f>
        <v/>
      </c>
      <c r="L120" s="31"/>
    </row>
    <row r="121" customFormat="false" ht="27.75" hidden="false" customHeight="true" outlineLevel="0" collapsed="false">
      <c r="A121" s="32"/>
      <c r="B121" s="32"/>
      <c r="C121" s="32"/>
      <c r="D121" s="32"/>
      <c r="E121" s="33"/>
      <c r="F121" s="34"/>
      <c r="G121" s="27" t="str">
        <f aca="false">IF(E123="","",IFERROR(VLOOKUP(E123,Settings!$A$7:$B$17,2,FALSE()),1))</f>
        <v/>
      </c>
      <c r="H121" s="28" t="str">
        <f aca="false">IF(OR(F123="",G123=""),"",F123/G123)</f>
        <v/>
      </c>
      <c r="I121" s="29" t="str">
        <f aca="false">IF(B123="","",IFERROR(VLOOKUP(B123,Settings!$E$19:$F$23,2,FALSE()),0))</f>
        <v/>
      </c>
      <c r="J121" s="28" t="str">
        <f aca="false">IF(H123="","",IF(OR(B123="Deposit",B123="Cash In"),H123,-(H123/MAX(1-I123,0.0001))))</f>
        <v/>
      </c>
      <c r="K121" s="30" t="str">
        <f aca="false">IF(J123="","",IF(ISNUMBER(K122),K122,Settings!$C$4)+J123)</f>
        <v/>
      </c>
      <c r="L121" s="31"/>
    </row>
    <row r="122" customFormat="false" ht="27.75" hidden="false" customHeight="true" outlineLevel="0" collapsed="false">
      <c r="A122" s="32"/>
      <c r="B122" s="32"/>
      <c r="C122" s="32"/>
      <c r="D122" s="32"/>
      <c r="E122" s="33"/>
      <c r="F122" s="34"/>
      <c r="G122" s="27" t="str">
        <f aca="false">IF(E124="","",IFERROR(VLOOKUP(E124,Settings!$A$7:$B$17,2,FALSE()),1))</f>
        <v/>
      </c>
      <c r="H122" s="28" t="str">
        <f aca="false">IF(OR(F124="",G124=""),"",F124/G124)</f>
        <v/>
      </c>
      <c r="I122" s="29" t="str">
        <f aca="false">IF(B124="","",IFERROR(VLOOKUP(B124,Settings!$E$19:$F$23,2,FALSE()),0))</f>
        <v/>
      </c>
      <c r="J122" s="28" t="str">
        <f aca="false">IF(H124="","",IF(OR(B124="Deposit",B124="Cash In"),H124,-(H124/MAX(1-I124,0.0001))))</f>
        <v/>
      </c>
      <c r="K122" s="30" t="str">
        <f aca="false">IF(J124="","",IF(ISNUMBER(K123),K123,Settings!$C$4)+J124)</f>
        <v/>
      </c>
      <c r="L122" s="31"/>
    </row>
    <row r="123" customFormat="false" ht="27.75" hidden="false" customHeight="true" outlineLevel="0" collapsed="false">
      <c r="A123" s="32"/>
      <c r="B123" s="32"/>
      <c r="C123" s="32"/>
      <c r="D123" s="32"/>
      <c r="E123" s="33"/>
      <c r="F123" s="34"/>
      <c r="G123" s="27" t="str">
        <f aca="false">IF(E125="","",IFERROR(VLOOKUP(E125,Settings!$A$7:$B$17,2,FALSE()),1))</f>
        <v/>
      </c>
      <c r="H123" s="28" t="str">
        <f aca="false">IF(OR(F125="",G125=""),"",F125/G125)</f>
        <v/>
      </c>
      <c r="I123" s="29" t="str">
        <f aca="false">IF(B125="","",IFERROR(VLOOKUP(B125,Settings!$E$19:$F$23,2,FALSE()),0))</f>
        <v/>
      </c>
      <c r="J123" s="28" t="str">
        <f aca="false">IF(H125="","",IF(OR(B125="Deposit",B125="Cash In"),H125,-(H125/MAX(1-I125,0.0001))))</f>
        <v/>
      </c>
      <c r="K123" s="30" t="str">
        <f aca="false">IF(J125="","",IF(ISNUMBER(K124),K124,Settings!$C$4)+J125)</f>
        <v/>
      </c>
      <c r="L123" s="31"/>
    </row>
    <row r="124" customFormat="false" ht="27.75" hidden="false" customHeight="true" outlineLevel="0" collapsed="false">
      <c r="A124" s="32"/>
      <c r="B124" s="32"/>
      <c r="C124" s="32"/>
      <c r="D124" s="32"/>
      <c r="E124" s="33"/>
      <c r="F124" s="34"/>
      <c r="G124" s="27" t="str">
        <f aca="false">IF(E126="","",IFERROR(VLOOKUP(E126,Settings!$A$7:$B$17,2,FALSE()),1))</f>
        <v/>
      </c>
      <c r="H124" s="28" t="str">
        <f aca="false">IF(OR(F126="",G126=""),"",F126/G126)</f>
        <v/>
      </c>
      <c r="I124" s="29" t="str">
        <f aca="false">IF(B126="","",IFERROR(VLOOKUP(B126,Settings!$E$19:$F$23,2,FALSE()),0))</f>
        <v/>
      </c>
      <c r="J124" s="28" t="str">
        <f aca="false">IF(H126="","",IF(OR(B126="Deposit",B126="Cash In"),H126,-(H126/MAX(1-I126,0.0001))))</f>
        <v/>
      </c>
      <c r="K124" s="30" t="str">
        <f aca="false">IF(J126="","",IF(ISNUMBER(K125),K125,Settings!$C$4)+J126)</f>
        <v/>
      </c>
      <c r="L124" s="31"/>
    </row>
    <row r="125" customFormat="false" ht="27.75" hidden="false" customHeight="true" outlineLevel="0" collapsed="false">
      <c r="A125" s="32"/>
      <c r="B125" s="32"/>
      <c r="C125" s="32"/>
      <c r="D125" s="32"/>
      <c r="E125" s="33"/>
      <c r="F125" s="34"/>
      <c r="G125" s="27" t="str">
        <f aca="false">IF(E127="","",IFERROR(VLOOKUP(E127,Settings!$A$7:$B$17,2,FALSE()),1))</f>
        <v/>
      </c>
      <c r="H125" s="28" t="str">
        <f aca="false">IF(OR(F127="",G127=""),"",F127/G127)</f>
        <v/>
      </c>
      <c r="I125" s="29" t="str">
        <f aca="false">IF(B127="","",IFERROR(VLOOKUP(B127,Settings!$E$19:$F$23,2,FALSE()),0))</f>
        <v/>
      </c>
      <c r="J125" s="28" t="str">
        <f aca="false">IF(H127="","",IF(OR(B127="Deposit",B127="Cash In"),H127,-(H127/MAX(1-I127,0.0001))))</f>
        <v/>
      </c>
      <c r="K125" s="30" t="str">
        <f aca="false">IF(J127="","",IF(ISNUMBER(K126),K126,Settings!$C$4)+J127)</f>
        <v/>
      </c>
      <c r="L125" s="31"/>
    </row>
    <row r="126" customFormat="false" ht="27.75" hidden="false" customHeight="true" outlineLevel="0" collapsed="false">
      <c r="A126" s="32"/>
      <c r="B126" s="32"/>
      <c r="C126" s="32"/>
      <c r="D126" s="32"/>
      <c r="E126" s="33"/>
      <c r="F126" s="34"/>
      <c r="G126" s="27" t="str">
        <f aca="false">IF(E128="","",IFERROR(VLOOKUP(E128,Settings!$A$7:$B$17,2,FALSE()),1))</f>
        <v/>
      </c>
      <c r="H126" s="28" t="str">
        <f aca="false">IF(OR(F128="",G128=""),"",F128/G128)</f>
        <v/>
      </c>
      <c r="I126" s="29" t="str">
        <f aca="false">IF(B128="","",IFERROR(VLOOKUP(B128,Settings!$E$19:$F$23,2,FALSE()),0))</f>
        <v/>
      </c>
      <c r="J126" s="28" t="str">
        <f aca="false">IF(H128="","",IF(OR(B128="Deposit",B128="Cash In"),H128,-(H128/MAX(1-I128,0.0001))))</f>
        <v/>
      </c>
      <c r="K126" s="30" t="str">
        <f aca="false">IF(J128="","",IF(ISNUMBER(K127),K127,Settings!$C$4)+J128)</f>
        <v/>
      </c>
      <c r="L126" s="31"/>
    </row>
    <row r="127" customFormat="false" ht="27.75" hidden="false" customHeight="true" outlineLevel="0" collapsed="false">
      <c r="A127" s="32"/>
      <c r="B127" s="32"/>
      <c r="C127" s="32"/>
      <c r="D127" s="32"/>
      <c r="E127" s="33"/>
      <c r="F127" s="34"/>
      <c r="G127" s="27" t="str">
        <f aca="false">IF(E129="","",IFERROR(VLOOKUP(E129,Settings!$A$7:$B$17,2,FALSE()),1))</f>
        <v/>
      </c>
      <c r="H127" s="28" t="str">
        <f aca="false">IF(OR(F129="",G129=""),"",F129/G129)</f>
        <v/>
      </c>
      <c r="I127" s="29" t="str">
        <f aca="false">IF(B129="","",IFERROR(VLOOKUP(B129,Settings!$E$19:$F$23,2,FALSE()),0))</f>
        <v/>
      </c>
      <c r="J127" s="28" t="str">
        <f aca="false">IF(H129="","",IF(OR(B129="Deposit",B129="Cash In"),H129,-(H129/MAX(1-I129,0.0001))))</f>
        <v/>
      </c>
      <c r="K127" s="30" t="str">
        <f aca="false">IF(J129="","",IF(ISNUMBER(K128),K128,Settings!$C$4)+J129)</f>
        <v/>
      </c>
      <c r="L127" s="31"/>
    </row>
    <row r="128" customFormat="false" ht="27.75" hidden="false" customHeight="true" outlineLevel="0" collapsed="false">
      <c r="A128" s="32"/>
      <c r="B128" s="32"/>
      <c r="C128" s="32"/>
      <c r="D128" s="32"/>
      <c r="E128" s="33"/>
      <c r="F128" s="34"/>
      <c r="G128" s="27" t="str">
        <f aca="false">IF(E130="","",IFERROR(VLOOKUP(E130,Settings!$A$7:$B$17,2,FALSE()),1))</f>
        <v/>
      </c>
      <c r="H128" s="28" t="str">
        <f aca="false">IF(OR(F130="",G130=""),"",F130/G130)</f>
        <v/>
      </c>
      <c r="I128" s="29" t="str">
        <f aca="false">IF(B130="","",IFERROR(VLOOKUP(B130,Settings!$E$19:$F$23,2,FALSE()),0))</f>
        <v/>
      </c>
      <c r="J128" s="28" t="str">
        <f aca="false">IF(H130="","",IF(OR(B130="Deposit",B130="Cash In"),H130,-(H130/MAX(1-I130,0.0001))))</f>
        <v/>
      </c>
      <c r="K128" s="30" t="str">
        <f aca="false">IF(J130="","",IF(ISNUMBER(K129),K129,Settings!$C$4)+J130)</f>
        <v/>
      </c>
      <c r="L128" s="31"/>
    </row>
    <row r="129" customFormat="false" ht="27.75" hidden="false" customHeight="true" outlineLevel="0" collapsed="false">
      <c r="A129" s="32"/>
      <c r="B129" s="32"/>
      <c r="C129" s="32"/>
      <c r="D129" s="32"/>
      <c r="E129" s="33"/>
      <c r="F129" s="34"/>
      <c r="G129" s="27" t="str">
        <f aca="false">IF(E131="","",IFERROR(VLOOKUP(E131,Settings!$A$7:$B$17,2,FALSE()),1))</f>
        <v/>
      </c>
      <c r="H129" s="28" t="str">
        <f aca="false">IF(OR(F131="",G131=""),"",F131/G131)</f>
        <v/>
      </c>
      <c r="I129" s="29" t="str">
        <f aca="false">IF(B131="","",IFERROR(VLOOKUP(B131,Settings!$E$19:$F$23,2,FALSE()),0))</f>
        <v/>
      </c>
      <c r="J129" s="28" t="str">
        <f aca="false">IF(H131="","",IF(OR(B131="Deposit",B131="Cash In"),H131,-(H131/MAX(1-I131,0.0001))))</f>
        <v/>
      </c>
      <c r="K129" s="30" t="str">
        <f aca="false">IF(J131="","",IF(ISNUMBER(K130),K130,Settings!$C$4)+J131)</f>
        <v/>
      </c>
      <c r="L129" s="31"/>
    </row>
    <row r="130" customFormat="false" ht="27.75" hidden="false" customHeight="true" outlineLevel="0" collapsed="false">
      <c r="A130" s="32"/>
      <c r="B130" s="32"/>
      <c r="C130" s="32"/>
      <c r="D130" s="32"/>
      <c r="E130" s="33"/>
      <c r="F130" s="34"/>
      <c r="G130" s="27" t="str">
        <f aca="false">IF(E132="","",IFERROR(VLOOKUP(E132,Settings!$A$7:$B$17,2,FALSE()),1))</f>
        <v/>
      </c>
      <c r="H130" s="28" t="str">
        <f aca="false">IF(OR(F132="",G132=""),"",F132/G132)</f>
        <v/>
      </c>
      <c r="I130" s="29" t="str">
        <f aca="false">IF(B132="","",IFERROR(VLOOKUP(B132,Settings!$E$19:$F$23,2,FALSE()),0))</f>
        <v/>
      </c>
      <c r="J130" s="28" t="str">
        <f aca="false">IF(H132="","",IF(OR(B132="Deposit",B132="Cash In"),H132,-(H132/MAX(1-I132,0.0001))))</f>
        <v/>
      </c>
      <c r="K130" s="30" t="str">
        <f aca="false">IF(J132="","",IF(ISNUMBER(K131),K131,Settings!$C$4)+J132)</f>
        <v/>
      </c>
      <c r="L130" s="31"/>
    </row>
    <row r="131" customFormat="false" ht="27.75" hidden="false" customHeight="true" outlineLevel="0" collapsed="false">
      <c r="A131" s="32"/>
      <c r="B131" s="32"/>
      <c r="C131" s="32"/>
      <c r="D131" s="32"/>
      <c r="E131" s="33"/>
      <c r="F131" s="34"/>
      <c r="G131" s="27" t="str">
        <f aca="false">IF(E133="","",IFERROR(VLOOKUP(E133,Settings!$A$7:$B$17,2,FALSE()),1))</f>
        <v/>
      </c>
      <c r="H131" s="28" t="str">
        <f aca="false">IF(OR(F133="",G133=""),"",F133/G133)</f>
        <v/>
      </c>
      <c r="I131" s="29" t="str">
        <f aca="false">IF(B133="","",IFERROR(VLOOKUP(B133,Settings!$E$19:$F$23,2,FALSE()),0))</f>
        <v/>
      </c>
      <c r="J131" s="28" t="str">
        <f aca="false">IF(H133="","",IF(OR(B133="Deposit",B133="Cash In"),H133,-(H133/MAX(1-I133,0.0001))))</f>
        <v/>
      </c>
      <c r="K131" s="30" t="str">
        <f aca="false">IF(J133="","",IF(ISNUMBER(K132),K132,Settings!$C$4)+J133)</f>
        <v/>
      </c>
      <c r="L131" s="31"/>
    </row>
    <row r="132" customFormat="false" ht="27.75" hidden="false" customHeight="true" outlineLevel="0" collapsed="false">
      <c r="A132" s="32"/>
      <c r="B132" s="32"/>
      <c r="C132" s="32"/>
      <c r="D132" s="32"/>
      <c r="E132" s="33"/>
      <c r="F132" s="34"/>
      <c r="G132" s="27" t="str">
        <f aca="false">IF(E134="","",IFERROR(VLOOKUP(E134,Settings!$A$7:$B$17,2,FALSE()),1))</f>
        <v/>
      </c>
      <c r="H132" s="28" t="str">
        <f aca="false">IF(OR(F134="",G134=""),"",F134/G134)</f>
        <v/>
      </c>
      <c r="I132" s="29" t="str">
        <f aca="false">IF(B134="","",IFERROR(VLOOKUP(B134,Settings!$E$19:$F$23,2,FALSE()),0))</f>
        <v/>
      </c>
      <c r="J132" s="28" t="str">
        <f aca="false">IF(H134="","",IF(OR(B134="Deposit",B134="Cash In"),H134,-(H134/MAX(1-I134,0.0001))))</f>
        <v/>
      </c>
      <c r="K132" s="30" t="str">
        <f aca="false">IF(J134="","",IF(ISNUMBER(K133),K133,Settings!$C$4)+J134)</f>
        <v/>
      </c>
      <c r="L132" s="31"/>
    </row>
    <row r="133" customFormat="false" ht="27.75" hidden="false" customHeight="true" outlineLevel="0" collapsed="false">
      <c r="A133" s="32"/>
      <c r="B133" s="32"/>
      <c r="C133" s="32"/>
      <c r="D133" s="32"/>
      <c r="E133" s="33"/>
      <c r="F133" s="34"/>
      <c r="G133" s="27" t="str">
        <f aca="false">IF(E135="","",IFERROR(VLOOKUP(E135,Settings!$A$7:$B$17,2,FALSE()),1))</f>
        <v/>
      </c>
      <c r="H133" s="28" t="str">
        <f aca="false">IF(OR(F135="",G135=""),"",F135/G135)</f>
        <v/>
      </c>
      <c r="I133" s="29" t="str">
        <f aca="false">IF(B135="","",IFERROR(VLOOKUP(B135,Settings!$E$19:$F$23,2,FALSE()),0))</f>
        <v/>
      </c>
      <c r="J133" s="28" t="str">
        <f aca="false">IF(H135="","",IF(OR(B135="Deposit",B135="Cash In"),H135,-(H135/MAX(1-I135,0.0001))))</f>
        <v/>
      </c>
      <c r="K133" s="30" t="str">
        <f aca="false">IF(J135="","",IF(ISNUMBER(K134),K134,Settings!$C$4)+J135)</f>
        <v/>
      </c>
      <c r="L133" s="31"/>
    </row>
    <row r="134" customFormat="false" ht="27.75" hidden="false" customHeight="true" outlineLevel="0" collapsed="false">
      <c r="A134" s="32"/>
      <c r="B134" s="32"/>
      <c r="C134" s="32"/>
      <c r="D134" s="32"/>
      <c r="E134" s="33"/>
      <c r="F134" s="34"/>
      <c r="G134" s="27" t="str">
        <f aca="false">IF(E136="","",IFERROR(VLOOKUP(E136,Settings!$A$7:$B$17,2,FALSE()),1))</f>
        <v/>
      </c>
      <c r="H134" s="28" t="str">
        <f aca="false">IF(OR(F136="",G136=""),"",F136/G136)</f>
        <v/>
      </c>
      <c r="I134" s="29" t="str">
        <f aca="false">IF(B136="","",IFERROR(VLOOKUP(B136,Settings!$E$19:$F$23,2,FALSE()),0))</f>
        <v/>
      </c>
      <c r="J134" s="28" t="str">
        <f aca="false">IF(H136="","",IF(OR(B136="Deposit",B136="Cash In"),H136,-(H136/MAX(1-I136,0.0001))))</f>
        <v/>
      </c>
      <c r="K134" s="30" t="str">
        <f aca="false">IF(J136="","",IF(ISNUMBER(K135),K135,Settings!$C$4)+J136)</f>
        <v/>
      </c>
      <c r="L134" s="31"/>
    </row>
    <row r="135" customFormat="false" ht="27.75" hidden="false" customHeight="true" outlineLevel="0" collapsed="false">
      <c r="A135" s="32"/>
      <c r="B135" s="32"/>
      <c r="C135" s="32"/>
      <c r="D135" s="32"/>
      <c r="E135" s="33"/>
      <c r="F135" s="34"/>
      <c r="G135" s="27" t="str">
        <f aca="false">IF(E137="","",IFERROR(VLOOKUP(E137,Settings!$A$7:$B$17,2,FALSE()),1))</f>
        <v/>
      </c>
      <c r="H135" s="28" t="str">
        <f aca="false">IF(OR(F137="",G137=""),"",F137/G137)</f>
        <v/>
      </c>
      <c r="I135" s="29" t="str">
        <f aca="false">IF(B137="","",IFERROR(VLOOKUP(B137,Settings!$E$19:$F$23,2,FALSE()),0))</f>
        <v/>
      </c>
      <c r="J135" s="28" t="str">
        <f aca="false">IF(H137="","",IF(OR(B137="Deposit",B137="Cash In"),H137,-(H137/MAX(1-I137,0.0001))))</f>
        <v/>
      </c>
      <c r="K135" s="30" t="str">
        <f aca="false">IF(J137="","",IF(ISNUMBER(K136),K136,Settings!$C$4)+J137)</f>
        <v/>
      </c>
      <c r="L135" s="31"/>
    </row>
    <row r="136" customFormat="false" ht="27.75" hidden="false" customHeight="true" outlineLevel="0" collapsed="false">
      <c r="A136" s="32"/>
      <c r="B136" s="32"/>
      <c r="C136" s="32"/>
      <c r="D136" s="32"/>
      <c r="E136" s="33"/>
      <c r="F136" s="34"/>
      <c r="G136" s="27" t="str">
        <f aca="false">IF(E138="","",IFERROR(VLOOKUP(E138,Settings!$A$7:$B$17,2,FALSE()),1))</f>
        <v/>
      </c>
      <c r="H136" s="28" t="str">
        <f aca="false">IF(OR(F138="",G138=""),"",F138/G138)</f>
        <v/>
      </c>
      <c r="I136" s="29" t="str">
        <f aca="false">IF(B138="","",IFERROR(VLOOKUP(B138,Settings!$E$19:$F$23,2,FALSE()),0))</f>
        <v/>
      </c>
      <c r="J136" s="28" t="str">
        <f aca="false">IF(H138="","",IF(OR(B138="Deposit",B138="Cash In"),H138,-(H138/MAX(1-I138,0.0001))))</f>
        <v/>
      </c>
      <c r="K136" s="30" t="str">
        <f aca="false">IF(J138="","",IF(ISNUMBER(K137),K137,Settings!$C$4)+J138)</f>
        <v/>
      </c>
      <c r="L136" s="31"/>
    </row>
    <row r="137" customFormat="false" ht="27.75" hidden="false" customHeight="true" outlineLevel="0" collapsed="false">
      <c r="A137" s="32"/>
      <c r="B137" s="32"/>
      <c r="C137" s="32"/>
      <c r="D137" s="32"/>
      <c r="E137" s="33"/>
      <c r="F137" s="34"/>
      <c r="G137" s="27" t="str">
        <f aca="false">IF(E139="","",IFERROR(VLOOKUP(E139,Settings!$A$7:$B$17,2,FALSE()),1))</f>
        <v/>
      </c>
      <c r="H137" s="28" t="str">
        <f aca="false">IF(OR(F139="",G139=""),"",F139/G139)</f>
        <v/>
      </c>
      <c r="I137" s="29" t="str">
        <f aca="false">IF(B139="","",IFERROR(VLOOKUP(B139,Settings!$E$19:$F$23,2,FALSE()),0))</f>
        <v/>
      </c>
      <c r="J137" s="28" t="str">
        <f aca="false">IF(H139="","",IF(OR(B139="Deposit",B139="Cash In"),H139,-(H139/MAX(1-I139,0.0001))))</f>
        <v/>
      </c>
      <c r="K137" s="30" t="str">
        <f aca="false">IF(J139="","",IF(ISNUMBER(K138),K138,Settings!$C$4)+J139)</f>
        <v/>
      </c>
      <c r="L137" s="31"/>
    </row>
    <row r="138" customFormat="false" ht="27.75" hidden="false" customHeight="true" outlineLevel="0" collapsed="false">
      <c r="A138" s="32"/>
      <c r="B138" s="32"/>
      <c r="C138" s="32"/>
      <c r="D138" s="32"/>
      <c r="E138" s="33"/>
      <c r="F138" s="34"/>
      <c r="G138" s="27" t="str">
        <f aca="false">IF(E140="","",IFERROR(VLOOKUP(E140,Settings!$A$7:$B$17,2,FALSE()),1))</f>
        <v/>
      </c>
      <c r="H138" s="28" t="str">
        <f aca="false">IF(OR(F140="",G140=""),"",F140/G140)</f>
        <v/>
      </c>
      <c r="I138" s="29" t="str">
        <f aca="false">IF(B140="","",IFERROR(VLOOKUP(B140,Settings!$E$19:$F$23,2,FALSE()),0))</f>
        <v/>
      </c>
      <c r="J138" s="28" t="str">
        <f aca="false">IF(H140="","",IF(OR(B140="Deposit",B140="Cash In"),H140,-(H140/MAX(1-I140,0.0001))))</f>
        <v/>
      </c>
      <c r="K138" s="30" t="str">
        <f aca="false">IF(J140="","",IF(ISNUMBER(K139),K139,Settings!$C$4)+J140)</f>
        <v/>
      </c>
      <c r="L138" s="31"/>
    </row>
    <row r="139" customFormat="false" ht="27.75" hidden="false" customHeight="true" outlineLevel="0" collapsed="false">
      <c r="A139" s="32"/>
      <c r="B139" s="32"/>
      <c r="C139" s="32"/>
      <c r="D139" s="32"/>
      <c r="E139" s="33"/>
      <c r="F139" s="34"/>
      <c r="G139" s="27" t="str">
        <f aca="false">IF(E141="","",IFERROR(VLOOKUP(E141,Settings!$A$7:$B$17,2,FALSE()),1))</f>
        <v/>
      </c>
      <c r="H139" s="28" t="str">
        <f aca="false">IF(OR(F141="",G141=""),"",F141/G141)</f>
        <v/>
      </c>
      <c r="I139" s="29" t="str">
        <f aca="false">IF(B141="","",IFERROR(VLOOKUP(B141,Settings!$E$19:$F$23,2,FALSE()),0))</f>
        <v/>
      </c>
      <c r="J139" s="28" t="str">
        <f aca="false">IF(H141="","",IF(OR(B141="Deposit",B141="Cash In"),H141,-(H141/MAX(1-I141,0.0001))))</f>
        <v/>
      </c>
      <c r="K139" s="30" t="str">
        <f aca="false">IF(J141="","",IF(ISNUMBER(K140),K140,Settings!$C$4)+J141)</f>
        <v/>
      </c>
      <c r="L139" s="31"/>
    </row>
    <row r="140" customFormat="false" ht="27.75" hidden="false" customHeight="true" outlineLevel="0" collapsed="false">
      <c r="A140" s="32"/>
      <c r="B140" s="32"/>
      <c r="C140" s="32"/>
      <c r="D140" s="32"/>
      <c r="E140" s="33"/>
      <c r="F140" s="34"/>
      <c r="G140" s="27" t="str">
        <f aca="false">IF(E142="","",IFERROR(VLOOKUP(E142,Settings!$A$7:$B$17,2,FALSE()),1))</f>
        <v/>
      </c>
      <c r="H140" s="28" t="str">
        <f aca="false">IF(OR(F142="",G142=""),"",F142/G142)</f>
        <v/>
      </c>
      <c r="I140" s="29" t="str">
        <f aca="false">IF(B142="","",IFERROR(VLOOKUP(B142,Settings!$E$19:$F$23,2,FALSE()),0))</f>
        <v/>
      </c>
      <c r="J140" s="28" t="str">
        <f aca="false">IF(H142="","",IF(OR(B142="Deposit",B142="Cash In"),H142,-(H142/MAX(1-I142,0.0001))))</f>
        <v/>
      </c>
      <c r="K140" s="30" t="str">
        <f aca="false">IF(J142="","",IF(ISNUMBER(K141),K141,Settings!$C$4)+J142)</f>
        <v/>
      </c>
      <c r="L140" s="31"/>
    </row>
    <row r="141" customFormat="false" ht="27.75" hidden="false" customHeight="true" outlineLevel="0" collapsed="false">
      <c r="A141" s="32"/>
      <c r="B141" s="32"/>
      <c r="C141" s="32"/>
      <c r="D141" s="32"/>
      <c r="E141" s="33"/>
      <c r="F141" s="34"/>
      <c r="G141" s="27" t="str">
        <f aca="false">IF(E143="","",IFERROR(VLOOKUP(E143,Settings!$A$7:$B$17,2,FALSE()),1))</f>
        <v/>
      </c>
      <c r="H141" s="28" t="str">
        <f aca="false">IF(OR(F143="",G143=""),"",F143/G143)</f>
        <v/>
      </c>
      <c r="I141" s="29" t="str">
        <f aca="false">IF(B143="","",IFERROR(VLOOKUP(B143,Settings!$E$19:$F$23,2,FALSE()),0))</f>
        <v/>
      </c>
      <c r="J141" s="28" t="str">
        <f aca="false">IF(H143="","",IF(OR(B143="Deposit",B143="Cash In"),H143,-(H143/MAX(1-I143,0.0001))))</f>
        <v/>
      </c>
      <c r="K141" s="30" t="str">
        <f aca="false">IF(J143="","",IF(ISNUMBER(K142),K142,Settings!$C$4)+J143)</f>
        <v/>
      </c>
      <c r="L141" s="31"/>
    </row>
    <row r="142" customFormat="false" ht="27.75" hidden="false" customHeight="true" outlineLevel="0" collapsed="false">
      <c r="A142" s="32"/>
      <c r="B142" s="32"/>
      <c r="C142" s="32"/>
      <c r="D142" s="32"/>
      <c r="E142" s="33"/>
      <c r="F142" s="34"/>
      <c r="G142" s="27" t="str">
        <f aca="false">IF(E144="","",IFERROR(VLOOKUP(E144,Settings!$A$7:$B$17,2,FALSE()),1))</f>
        <v/>
      </c>
      <c r="H142" s="28" t="str">
        <f aca="false">IF(OR(F144="",G144=""),"",F144/G144)</f>
        <v/>
      </c>
      <c r="I142" s="29" t="str">
        <f aca="false">IF(B144="","",IFERROR(VLOOKUP(B144,Settings!$E$19:$F$23,2,FALSE()),0))</f>
        <v/>
      </c>
      <c r="J142" s="28" t="str">
        <f aca="false">IF(H144="","",IF(OR(B144="Deposit",B144="Cash In"),H144,-(H144/MAX(1-I144,0.0001))))</f>
        <v/>
      </c>
      <c r="K142" s="30" t="str">
        <f aca="false">IF(J144="","",IF(ISNUMBER(K143),K143,Settings!$C$4)+J144)</f>
        <v/>
      </c>
      <c r="L142" s="31"/>
    </row>
    <row r="143" customFormat="false" ht="27.75" hidden="false" customHeight="true" outlineLevel="0" collapsed="false">
      <c r="A143" s="32"/>
      <c r="B143" s="32"/>
      <c r="C143" s="32"/>
      <c r="D143" s="32"/>
      <c r="E143" s="33"/>
      <c r="F143" s="34"/>
      <c r="G143" s="27" t="str">
        <f aca="false">IF(E145="","",IFERROR(VLOOKUP(E145,Settings!$A$7:$B$17,2,FALSE()),1))</f>
        <v/>
      </c>
      <c r="H143" s="28" t="str">
        <f aca="false">IF(OR(F145="",G145=""),"",F145/G145)</f>
        <v/>
      </c>
      <c r="I143" s="29" t="str">
        <f aca="false">IF(B145="","",IFERROR(VLOOKUP(B145,Settings!$E$19:$F$23,2,FALSE()),0))</f>
        <v/>
      </c>
      <c r="J143" s="28" t="str">
        <f aca="false">IF(H145="","",IF(OR(B145="Deposit",B145="Cash In"),H145,-(H145/MAX(1-I145,0.0001))))</f>
        <v/>
      </c>
      <c r="K143" s="30" t="str">
        <f aca="false">IF(J145="","",IF(ISNUMBER(K144),K144,Settings!$C$4)+J145)</f>
        <v/>
      </c>
      <c r="L143" s="31"/>
    </row>
    <row r="144" customFormat="false" ht="27.75" hidden="false" customHeight="true" outlineLevel="0" collapsed="false">
      <c r="A144" s="32"/>
      <c r="B144" s="32"/>
      <c r="C144" s="32"/>
      <c r="D144" s="32"/>
      <c r="E144" s="33"/>
      <c r="F144" s="34"/>
      <c r="G144" s="27" t="str">
        <f aca="false">IF(E146="","",IFERROR(VLOOKUP(E146,Settings!$A$7:$B$17,2,FALSE()),1))</f>
        <v/>
      </c>
      <c r="H144" s="28" t="str">
        <f aca="false">IF(OR(F146="",G146=""),"",F146/G146)</f>
        <v/>
      </c>
      <c r="I144" s="29" t="str">
        <f aca="false">IF(B146="","",IFERROR(VLOOKUP(B146,Settings!$E$19:$F$23,2,FALSE()),0))</f>
        <v/>
      </c>
      <c r="J144" s="28" t="str">
        <f aca="false">IF(H146="","",IF(OR(B146="Deposit",B146="Cash In"),H146,-(H146/MAX(1-I146,0.0001))))</f>
        <v/>
      </c>
      <c r="K144" s="30" t="str">
        <f aca="false">IF(J146="","",IF(ISNUMBER(K145),K145,Settings!$C$4)+J146)</f>
        <v/>
      </c>
      <c r="L144" s="31"/>
    </row>
    <row r="145" customFormat="false" ht="27.75" hidden="false" customHeight="true" outlineLevel="0" collapsed="false">
      <c r="A145" s="32"/>
      <c r="B145" s="32"/>
      <c r="C145" s="32"/>
      <c r="D145" s="32"/>
      <c r="E145" s="33"/>
      <c r="F145" s="34"/>
      <c r="G145" s="27" t="str">
        <f aca="false">IF(E147="","",IFERROR(VLOOKUP(E147,Settings!$A$7:$B$17,2,FALSE()),1))</f>
        <v/>
      </c>
      <c r="H145" s="28" t="str">
        <f aca="false">IF(OR(F147="",G147=""),"",F147/G147)</f>
        <v/>
      </c>
      <c r="I145" s="29" t="str">
        <f aca="false">IF(B147="","",IFERROR(VLOOKUP(B147,Settings!$E$19:$F$23,2,FALSE()),0))</f>
        <v/>
      </c>
      <c r="J145" s="28" t="str">
        <f aca="false">IF(H147="","",IF(OR(B147="Deposit",B147="Cash In"),H147,-(H147/MAX(1-I147,0.0001))))</f>
        <v/>
      </c>
      <c r="K145" s="30" t="str">
        <f aca="false">IF(J147="","",IF(ISNUMBER(K146),K146,Settings!$C$4)+J147)</f>
        <v/>
      </c>
      <c r="L145" s="31"/>
    </row>
    <row r="146" customFormat="false" ht="27.75" hidden="false" customHeight="true" outlineLevel="0" collapsed="false">
      <c r="A146" s="32"/>
      <c r="B146" s="32"/>
      <c r="C146" s="32"/>
      <c r="D146" s="32"/>
      <c r="E146" s="33"/>
      <c r="F146" s="34"/>
      <c r="G146" s="27" t="str">
        <f aca="false">IF(E148="","",IFERROR(VLOOKUP(E148,Settings!$A$7:$B$17,2,FALSE()),1))</f>
        <v/>
      </c>
      <c r="H146" s="28" t="str">
        <f aca="false">IF(OR(F148="",G148=""),"",F148/G148)</f>
        <v/>
      </c>
      <c r="I146" s="29" t="str">
        <f aca="false">IF(B148="","",IFERROR(VLOOKUP(B148,Settings!$E$19:$F$23,2,FALSE()),0))</f>
        <v/>
      </c>
      <c r="J146" s="28" t="str">
        <f aca="false">IF(H148="","",IF(OR(B148="Deposit",B148="Cash In"),H148,-(H148/MAX(1-I148,0.0001))))</f>
        <v/>
      </c>
      <c r="K146" s="30" t="str">
        <f aca="false">IF(J148="","",IF(ISNUMBER(K147),K147,Settings!$C$4)+J148)</f>
        <v/>
      </c>
      <c r="L146" s="31"/>
    </row>
    <row r="147" customFormat="false" ht="27.75" hidden="false" customHeight="true" outlineLevel="0" collapsed="false">
      <c r="A147" s="32"/>
      <c r="B147" s="32"/>
      <c r="C147" s="32"/>
      <c r="D147" s="32"/>
      <c r="E147" s="33"/>
      <c r="F147" s="34"/>
      <c r="G147" s="27" t="str">
        <f aca="false">IF(E149="","",IFERROR(VLOOKUP(E149,Settings!$A$7:$B$17,2,FALSE()),1))</f>
        <v/>
      </c>
      <c r="H147" s="28" t="str">
        <f aca="false">IF(OR(F149="",G149=""),"",F149/G149)</f>
        <v/>
      </c>
      <c r="I147" s="29" t="str">
        <f aca="false">IF(B149="","",IFERROR(VLOOKUP(B149,Settings!$E$19:$F$23,2,FALSE()),0))</f>
        <v/>
      </c>
      <c r="J147" s="28" t="str">
        <f aca="false">IF(H149="","",IF(OR(B149="Deposit",B149="Cash In"),H149,-(H149/MAX(1-I149,0.0001))))</f>
        <v/>
      </c>
      <c r="K147" s="30" t="str">
        <f aca="false">IF(J149="","",IF(ISNUMBER(K148),K148,Settings!$C$4)+J149)</f>
        <v/>
      </c>
      <c r="L147" s="31"/>
    </row>
    <row r="148" customFormat="false" ht="27.75" hidden="false" customHeight="true" outlineLevel="0" collapsed="false">
      <c r="A148" s="32"/>
      <c r="B148" s="32"/>
      <c r="C148" s="32"/>
      <c r="D148" s="32"/>
      <c r="E148" s="33"/>
      <c r="F148" s="34"/>
      <c r="G148" s="27" t="str">
        <f aca="false">IF(E150="","",IFERROR(VLOOKUP(E150,Settings!$A$7:$B$17,2,FALSE()),1))</f>
        <v/>
      </c>
      <c r="H148" s="28" t="str">
        <f aca="false">IF(OR(F150="",G150=""),"",F150/G150)</f>
        <v/>
      </c>
      <c r="I148" s="29" t="str">
        <f aca="false">IF(B150="","",IFERROR(VLOOKUP(B150,Settings!$E$19:$F$23,2,FALSE()),0))</f>
        <v/>
      </c>
      <c r="J148" s="28" t="str">
        <f aca="false">IF(H150="","",IF(OR(B150="Deposit",B150="Cash In"),H150,-(H150/MAX(1-I150,0.0001))))</f>
        <v/>
      </c>
      <c r="K148" s="30" t="str">
        <f aca="false">IF(J150="","",IF(ISNUMBER(K149),K149,Settings!$C$4)+J150)</f>
        <v/>
      </c>
      <c r="L148" s="31"/>
    </row>
    <row r="149" customFormat="false" ht="27.75" hidden="false" customHeight="true" outlineLevel="0" collapsed="false">
      <c r="A149" s="32"/>
      <c r="B149" s="32"/>
      <c r="C149" s="32"/>
      <c r="D149" s="32"/>
      <c r="E149" s="33"/>
      <c r="F149" s="34"/>
      <c r="G149" s="27" t="str">
        <f aca="false">IF(E151="","",IFERROR(VLOOKUP(E151,Settings!$A$7:$B$17,2,FALSE()),1))</f>
        <v/>
      </c>
      <c r="H149" s="28" t="str">
        <f aca="false">IF(OR(F151="",G151=""),"",F151/G151)</f>
        <v/>
      </c>
      <c r="I149" s="29" t="str">
        <f aca="false">IF(B151="","",IFERROR(VLOOKUP(B151,Settings!$E$19:$F$23,2,FALSE()),0))</f>
        <v/>
      </c>
      <c r="J149" s="28" t="str">
        <f aca="false">IF(H151="","",IF(OR(B151="Deposit",B151="Cash In"),H151,-(H151/MAX(1-I151,0.0001))))</f>
        <v/>
      </c>
      <c r="K149" s="30" t="str">
        <f aca="false">IF(J151="","",IF(ISNUMBER(K150),K150,Settings!$C$4)+J151)</f>
        <v/>
      </c>
      <c r="L149" s="31"/>
    </row>
    <row r="150" customFormat="false" ht="27.75" hidden="false" customHeight="true" outlineLevel="0" collapsed="false">
      <c r="A150" s="32"/>
      <c r="B150" s="32"/>
      <c r="C150" s="32"/>
      <c r="D150" s="32"/>
      <c r="E150" s="33"/>
      <c r="F150" s="34"/>
      <c r="G150" s="27" t="str">
        <f aca="false">IF(E152="","",IFERROR(VLOOKUP(E152,Settings!$A$7:$B$17,2,FALSE()),1))</f>
        <v/>
      </c>
      <c r="H150" s="28" t="str">
        <f aca="false">IF(OR(F152="",G152=""),"",F152/G152)</f>
        <v/>
      </c>
      <c r="I150" s="29" t="str">
        <f aca="false">IF(B152="","",IFERROR(VLOOKUP(B152,Settings!$E$19:$F$23,2,FALSE()),0))</f>
        <v/>
      </c>
      <c r="J150" s="28" t="str">
        <f aca="false">IF(H152="","",IF(OR(B152="Deposit",B152="Cash In"),H152,-(H152/MAX(1-I152,0.0001))))</f>
        <v/>
      </c>
      <c r="K150" s="30" t="str">
        <f aca="false">IF(J152="","",IF(ISNUMBER(K151),K151,Settings!$C$4)+J152)</f>
        <v/>
      </c>
      <c r="L150" s="31"/>
    </row>
    <row r="151" customFormat="false" ht="27.75" hidden="false" customHeight="true" outlineLevel="0" collapsed="false">
      <c r="A151" s="32"/>
      <c r="B151" s="32"/>
      <c r="C151" s="32"/>
      <c r="D151" s="32"/>
      <c r="E151" s="33"/>
      <c r="F151" s="34"/>
      <c r="G151" s="27" t="str">
        <f aca="false">IF(E153="","",IFERROR(VLOOKUP(E153,Settings!$A$7:$B$17,2,FALSE()),1))</f>
        <v/>
      </c>
      <c r="H151" s="28" t="str">
        <f aca="false">IF(OR(F153="",G153=""),"",F153/G153)</f>
        <v/>
      </c>
      <c r="I151" s="29" t="str">
        <f aca="false">IF(B153="","",IFERROR(VLOOKUP(B153,Settings!$E$19:$F$23,2,FALSE()),0))</f>
        <v/>
      </c>
      <c r="J151" s="28" t="str">
        <f aca="false">IF(H153="","",IF(OR(B153="Deposit",B153="Cash In"),H153,-(H153/MAX(1-I153,0.0001))))</f>
        <v/>
      </c>
      <c r="K151" s="30" t="str">
        <f aca="false">IF(J153="","",IF(ISNUMBER(K152),K152,Settings!$C$4)+J153)</f>
        <v/>
      </c>
      <c r="L151" s="31"/>
    </row>
    <row r="152" customFormat="false" ht="27.75" hidden="false" customHeight="true" outlineLevel="0" collapsed="false">
      <c r="A152" s="32"/>
      <c r="B152" s="32"/>
      <c r="C152" s="32"/>
      <c r="D152" s="32"/>
      <c r="E152" s="33"/>
      <c r="F152" s="34"/>
      <c r="G152" s="27" t="str">
        <f aca="false">IF(E154="","",IFERROR(VLOOKUP(E154,Settings!$A$7:$B$17,2,FALSE()),1))</f>
        <v/>
      </c>
      <c r="H152" s="28" t="str">
        <f aca="false">IF(OR(F154="",G154=""),"",F154/G154)</f>
        <v/>
      </c>
      <c r="I152" s="29" t="str">
        <f aca="false">IF(B154="","",IFERROR(VLOOKUP(B154,Settings!$E$19:$F$23,2,FALSE()),0))</f>
        <v/>
      </c>
      <c r="J152" s="28" t="str">
        <f aca="false">IF(H154="","",IF(OR(B154="Deposit",B154="Cash In"),H154,-(H154/MAX(1-I154,0.0001))))</f>
        <v/>
      </c>
      <c r="K152" s="30" t="str">
        <f aca="false">IF(J154="","",IF(ISNUMBER(K153),K153,Settings!$C$4)+J154)</f>
        <v/>
      </c>
      <c r="L152" s="31"/>
    </row>
    <row r="153" customFormat="false" ht="27.75" hidden="false" customHeight="true" outlineLevel="0" collapsed="false">
      <c r="A153" s="32"/>
      <c r="B153" s="32"/>
      <c r="C153" s="32"/>
      <c r="D153" s="32"/>
      <c r="E153" s="33"/>
      <c r="F153" s="34"/>
      <c r="G153" s="27" t="str">
        <f aca="false">IF(E155="","",IFERROR(VLOOKUP(E155,Settings!$A$7:$B$17,2,FALSE()),1))</f>
        <v/>
      </c>
      <c r="H153" s="28" t="str">
        <f aca="false">IF(OR(F155="",G155=""),"",F155/G155)</f>
        <v/>
      </c>
      <c r="I153" s="29" t="str">
        <f aca="false">IF(B155="","",IFERROR(VLOOKUP(B155,Settings!$E$19:$F$23,2,FALSE()),0))</f>
        <v/>
      </c>
      <c r="J153" s="28" t="str">
        <f aca="false">IF(H155="","",IF(OR(B155="Deposit",B155="Cash In"),H155,-(H155/MAX(1-I155,0.0001))))</f>
        <v/>
      </c>
      <c r="K153" s="30" t="str">
        <f aca="false">IF(J155="","",IF(ISNUMBER(K154),K154,Settings!$C$4)+J155)</f>
        <v/>
      </c>
      <c r="L153" s="31"/>
    </row>
    <row r="154" customFormat="false" ht="27.75" hidden="false" customHeight="true" outlineLevel="0" collapsed="false">
      <c r="A154" s="32"/>
      <c r="B154" s="32"/>
      <c r="C154" s="32"/>
      <c r="D154" s="32"/>
      <c r="E154" s="33"/>
      <c r="F154" s="34"/>
      <c r="G154" s="27" t="str">
        <f aca="false">IF(E156="","",IFERROR(VLOOKUP(E156,Settings!$A$7:$B$17,2,FALSE()),1))</f>
        <v/>
      </c>
      <c r="H154" s="28" t="str">
        <f aca="false">IF(OR(F156="",G156=""),"",F156/G156)</f>
        <v/>
      </c>
      <c r="I154" s="29" t="str">
        <f aca="false">IF(B156="","",IFERROR(VLOOKUP(B156,Settings!$E$19:$F$23,2,FALSE()),0))</f>
        <v/>
      </c>
      <c r="J154" s="28" t="str">
        <f aca="false">IF(H156="","",IF(OR(B156="Deposit",B156="Cash In"),H156,-(H156/MAX(1-I156,0.0001))))</f>
        <v/>
      </c>
      <c r="K154" s="30" t="str">
        <f aca="false">IF(J156="","",IF(ISNUMBER(K155),K155,Settings!$C$4)+J156)</f>
        <v/>
      </c>
      <c r="L154" s="31"/>
    </row>
    <row r="155" customFormat="false" ht="27.75" hidden="false" customHeight="true" outlineLevel="0" collapsed="false">
      <c r="A155" s="32"/>
      <c r="B155" s="32"/>
      <c r="C155" s="32"/>
      <c r="D155" s="32"/>
      <c r="E155" s="33"/>
      <c r="F155" s="34"/>
      <c r="G155" s="27" t="str">
        <f aca="false">IF(E157="","",IFERROR(VLOOKUP(E157,Settings!$A$7:$B$17,2,FALSE()),1))</f>
        <v/>
      </c>
      <c r="H155" s="28" t="str">
        <f aca="false">IF(OR(F157="",G157=""),"",F157/G157)</f>
        <v/>
      </c>
      <c r="I155" s="29" t="str">
        <f aca="false">IF(B157="","",IFERROR(VLOOKUP(B157,Settings!$E$19:$F$23,2,FALSE()),0))</f>
        <v/>
      </c>
      <c r="J155" s="28" t="str">
        <f aca="false">IF(H157="","",IF(OR(B157="Deposit",B157="Cash In"),H157,-(H157/MAX(1-I157,0.0001))))</f>
        <v/>
      </c>
      <c r="K155" s="30" t="str">
        <f aca="false">IF(J157="","",IF(ISNUMBER(K156),K156,Settings!$C$4)+J157)</f>
        <v/>
      </c>
      <c r="L155" s="31"/>
    </row>
    <row r="156" customFormat="false" ht="27.75" hidden="false" customHeight="true" outlineLevel="0" collapsed="false">
      <c r="A156" s="32"/>
      <c r="B156" s="32"/>
      <c r="C156" s="32"/>
      <c r="D156" s="32"/>
      <c r="E156" s="33"/>
      <c r="F156" s="34"/>
      <c r="G156" s="27" t="str">
        <f aca="false">IF(E158="","",IFERROR(VLOOKUP(E158,Settings!$A$7:$B$17,2,FALSE()),1))</f>
        <v/>
      </c>
      <c r="H156" s="28" t="str">
        <f aca="false">IF(OR(F158="",G158=""),"",F158/G158)</f>
        <v/>
      </c>
      <c r="I156" s="29" t="str">
        <f aca="false">IF(B158="","",IFERROR(VLOOKUP(B158,Settings!$E$19:$F$23,2,FALSE()),0))</f>
        <v/>
      </c>
      <c r="J156" s="28" t="str">
        <f aca="false">IF(H158="","",IF(OR(B158="Deposit",B158="Cash In"),H158,-(H158/MAX(1-I158,0.0001))))</f>
        <v/>
      </c>
      <c r="K156" s="30" t="str">
        <f aca="false">IF(J158="","",IF(ISNUMBER(K157),K157,Settings!$C$4)+J158)</f>
        <v/>
      </c>
      <c r="L156" s="31"/>
    </row>
    <row r="157" customFormat="false" ht="27.75" hidden="false" customHeight="true" outlineLevel="0" collapsed="false">
      <c r="A157" s="32"/>
      <c r="B157" s="32"/>
      <c r="C157" s="32"/>
      <c r="D157" s="32"/>
      <c r="E157" s="33"/>
      <c r="F157" s="34"/>
      <c r="G157" s="27" t="str">
        <f aca="false">IF(E159="","",IFERROR(VLOOKUP(E159,Settings!$A$7:$B$17,2,FALSE()),1))</f>
        <v/>
      </c>
      <c r="H157" s="28" t="str">
        <f aca="false">IF(OR(F159="",G159=""),"",F159/G159)</f>
        <v/>
      </c>
      <c r="I157" s="29" t="str">
        <f aca="false">IF(B159="","",IFERROR(VLOOKUP(B159,Settings!$E$19:$F$23,2,FALSE()),0))</f>
        <v/>
      </c>
      <c r="J157" s="28" t="str">
        <f aca="false">IF(H159="","",IF(OR(B159="Deposit",B159="Cash In"),H159,-(H159/MAX(1-I159,0.0001))))</f>
        <v/>
      </c>
      <c r="K157" s="30" t="str">
        <f aca="false">IF(J159="","",IF(ISNUMBER(K158),K158,Settings!$C$4)+J159)</f>
        <v/>
      </c>
      <c r="L157" s="31"/>
    </row>
    <row r="158" customFormat="false" ht="27.75" hidden="false" customHeight="true" outlineLevel="0" collapsed="false">
      <c r="A158" s="32"/>
      <c r="B158" s="32"/>
      <c r="C158" s="32"/>
      <c r="D158" s="32"/>
      <c r="E158" s="33"/>
      <c r="F158" s="34"/>
      <c r="G158" s="27" t="str">
        <f aca="false">IF(E160="","",IFERROR(VLOOKUP(E160,Settings!$A$7:$B$17,2,FALSE()),1))</f>
        <v/>
      </c>
      <c r="H158" s="28" t="str">
        <f aca="false">IF(OR(F160="",G160=""),"",F160/G160)</f>
        <v/>
      </c>
      <c r="I158" s="29" t="str">
        <f aca="false">IF(B160="","",IFERROR(VLOOKUP(B160,Settings!$E$19:$F$23,2,FALSE()),0))</f>
        <v/>
      </c>
      <c r="J158" s="28" t="str">
        <f aca="false">IF(H160="","",IF(OR(B160="Deposit",B160="Cash In"),H160,-(H160/MAX(1-I160,0.0001))))</f>
        <v/>
      </c>
      <c r="K158" s="30" t="str">
        <f aca="false">IF(J160="","",IF(ISNUMBER(K159),K159,Settings!$C$4)+J160)</f>
        <v/>
      </c>
      <c r="L158" s="31"/>
    </row>
    <row r="159" customFormat="false" ht="27.75" hidden="false" customHeight="true" outlineLevel="0" collapsed="false">
      <c r="A159" s="32"/>
      <c r="B159" s="32"/>
      <c r="C159" s="32"/>
      <c r="D159" s="32"/>
      <c r="E159" s="33"/>
      <c r="F159" s="34"/>
      <c r="G159" s="27" t="str">
        <f aca="false">IF(E161="","",IFERROR(VLOOKUP(E161,Settings!$A$7:$B$17,2,FALSE()),1))</f>
        <v/>
      </c>
      <c r="H159" s="28" t="str">
        <f aca="false">IF(OR(F161="",G161=""),"",F161/G161)</f>
        <v/>
      </c>
      <c r="I159" s="29" t="str">
        <f aca="false">IF(B161="","",IFERROR(VLOOKUP(B161,Settings!$E$19:$F$23,2,FALSE()),0))</f>
        <v/>
      </c>
      <c r="J159" s="28" t="str">
        <f aca="false">IF(H161="","",IF(OR(B161="Deposit",B161="Cash In"),H161,-(H161/MAX(1-I161,0.0001))))</f>
        <v/>
      </c>
      <c r="K159" s="30" t="str">
        <f aca="false">IF(J161="","",IF(ISNUMBER(K160),K160,Settings!$C$4)+J161)</f>
        <v/>
      </c>
      <c r="L159" s="31"/>
    </row>
    <row r="160" customFormat="false" ht="27.75" hidden="false" customHeight="true" outlineLevel="0" collapsed="false">
      <c r="A160" s="32"/>
      <c r="B160" s="32"/>
      <c r="C160" s="32"/>
      <c r="D160" s="32"/>
      <c r="E160" s="33"/>
      <c r="F160" s="34"/>
      <c r="G160" s="27" t="str">
        <f aca="false">IF(E162="","",IFERROR(VLOOKUP(E162,Settings!$A$7:$B$17,2,FALSE()),1))</f>
        <v/>
      </c>
      <c r="H160" s="28" t="str">
        <f aca="false">IF(OR(F162="",G162=""),"",F162/G162)</f>
        <v/>
      </c>
      <c r="I160" s="29" t="str">
        <f aca="false">IF(B162="","",IFERROR(VLOOKUP(B162,Settings!$E$19:$F$23,2,FALSE()),0))</f>
        <v/>
      </c>
      <c r="J160" s="28" t="str">
        <f aca="false">IF(H162="","",IF(OR(B162="Deposit",B162="Cash In"),H162,-(H162/MAX(1-I162,0.0001))))</f>
        <v/>
      </c>
      <c r="K160" s="30" t="str">
        <f aca="false">IF(J162="","",IF(ISNUMBER(K161),K161,Settings!$C$4)+J162)</f>
        <v/>
      </c>
      <c r="L160" s="31"/>
    </row>
    <row r="161" customFormat="false" ht="27.75" hidden="false" customHeight="true" outlineLevel="0" collapsed="false">
      <c r="A161" s="32"/>
      <c r="B161" s="32"/>
      <c r="C161" s="32"/>
      <c r="D161" s="32"/>
      <c r="E161" s="33"/>
      <c r="F161" s="34"/>
      <c r="G161" s="27" t="str">
        <f aca="false">IF(E163="","",IFERROR(VLOOKUP(E163,Settings!$A$7:$B$17,2,FALSE()),1))</f>
        <v/>
      </c>
      <c r="H161" s="28" t="str">
        <f aca="false">IF(OR(F163="",G163=""),"",F163/G163)</f>
        <v/>
      </c>
      <c r="I161" s="29" t="str">
        <f aca="false">IF(B163="","",IFERROR(VLOOKUP(B163,Settings!$E$19:$F$23,2,FALSE()),0))</f>
        <v/>
      </c>
      <c r="J161" s="28" t="str">
        <f aca="false">IF(H163="","",IF(OR(B163="Deposit",B163="Cash In"),H163,-(H163/MAX(1-I163,0.0001))))</f>
        <v/>
      </c>
      <c r="K161" s="30" t="str">
        <f aca="false">IF(J163="","",IF(ISNUMBER(K162),K162,Settings!$C$4)+J163)</f>
        <v/>
      </c>
      <c r="L161" s="31"/>
    </row>
    <row r="162" customFormat="false" ht="27.75" hidden="false" customHeight="true" outlineLevel="0" collapsed="false">
      <c r="A162" s="32"/>
      <c r="B162" s="32"/>
      <c r="C162" s="32"/>
      <c r="D162" s="32"/>
      <c r="E162" s="33"/>
      <c r="F162" s="34"/>
      <c r="G162" s="27" t="str">
        <f aca="false">IF(E164="","",IFERROR(VLOOKUP(E164,Settings!$A$7:$B$17,2,FALSE()),1))</f>
        <v/>
      </c>
      <c r="H162" s="28" t="str">
        <f aca="false">IF(OR(F164="",G164=""),"",F164/G164)</f>
        <v/>
      </c>
      <c r="I162" s="29" t="str">
        <f aca="false">IF(B164="","",IFERROR(VLOOKUP(B164,Settings!$E$19:$F$23,2,FALSE()),0))</f>
        <v/>
      </c>
      <c r="J162" s="28" t="str">
        <f aca="false">IF(H164="","",IF(OR(B164="Deposit",B164="Cash In"),H164,-(H164/MAX(1-I164,0.0001))))</f>
        <v/>
      </c>
      <c r="K162" s="30" t="str">
        <f aca="false">IF(J164="","",IF(ISNUMBER(K163),K163,Settings!$C$4)+J164)</f>
        <v/>
      </c>
      <c r="L162" s="31"/>
    </row>
    <row r="163" customFormat="false" ht="27.75" hidden="false" customHeight="true" outlineLevel="0" collapsed="false">
      <c r="A163" s="32"/>
      <c r="B163" s="32"/>
      <c r="C163" s="32"/>
      <c r="D163" s="32"/>
      <c r="E163" s="33"/>
      <c r="F163" s="34"/>
      <c r="G163" s="27" t="str">
        <f aca="false">IF(E165="","",IFERROR(VLOOKUP(E165,Settings!$A$7:$B$17,2,FALSE()),1))</f>
        <v/>
      </c>
      <c r="H163" s="28" t="str">
        <f aca="false">IF(OR(F165="",G165=""),"",F165/G165)</f>
        <v/>
      </c>
      <c r="I163" s="29" t="str">
        <f aca="false">IF(B165="","",IFERROR(VLOOKUP(B165,Settings!$E$19:$F$23,2,FALSE()),0))</f>
        <v/>
      </c>
      <c r="J163" s="28" t="str">
        <f aca="false">IF(H165="","",IF(OR(B165="Deposit",B165="Cash In"),H165,-(H165/MAX(1-I165,0.0001))))</f>
        <v/>
      </c>
      <c r="K163" s="30" t="str">
        <f aca="false">IF(J165="","",IF(ISNUMBER(K164),K164,Settings!$C$4)+J165)</f>
        <v/>
      </c>
      <c r="L163" s="31"/>
    </row>
    <row r="164" customFormat="false" ht="27.75" hidden="false" customHeight="true" outlineLevel="0" collapsed="false">
      <c r="A164" s="32"/>
      <c r="B164" s="32"/>
      <c r="C164" s="32"/>
      <c r="D164" s="32"/>
      <c r="E164" s="33"/>
      <c r="F164" s="34"/>
      <c r="G164" s="27" t="str">
        <f aca="false">IF(E166="","",IFERROR(VLOOKUP(E166,Settings!$A$7:$B$17,2,FALSE()),1))</f>
        <v/>
      </c>
      <c r="H164" s="28" t="str">
        <f aca="false">IF(OR(F166="",G166=""),"",F166/G166)</f>
        <v/>
      </c>
      <c r="I164" s="29" t="str">
        <f aca="false">IF(B166="","",IFERROR(VLOOKUP(B166,Settings!$E$19:$F$23,2,FALSE()),0))</f>
        <v/>
      </c>
      <c r="J164" s="28" t="str">
        <f aca="false">IF(H166="","",IF(OR(B166="Deposit",B166="Cash In"),H166,-(H166/MAX(1-I166,0.0001))))</f>
        <v/>
      </c>
      <c r="K164" s="30" t="str">
        <f aca="false">IF(J166="","",IF(ISNUMBER(K165),K165,Settings!$C$4)+J166)</f>
        <v/>
      </c>
      <c r="L164" s="31"/>
    </row>
    <row r="165" customFormat="false" ht="27.75" hidden="false" customHeight="true" outlineLevel="0" collapsed="false">
      <c r="A165" s="32"/>
      <c r="B165" s="32"/>
      <c r="C165" s="32"/>
      <c r="D165" s="32"/>
      <c r="E165" s="33"/>
      <c r="F165" s="34"/>
      <c r="G165" s="27" t="str">
        <f aca="false">IF(E167="","",IFERROR(VLOOKUP(E167,Settings!$A$7:$B$17,2,FALSE()),1))</f>
        <v/>
      </c>
      <c r="H165" s="28" t="str">
        <f aca="false">IF(OR(F167="",G167=""),"",F167/G167)</f>
        <v/>
      </c>
      <c r="I165" s="29" t="str">
        <f aca="false">IF(B167="","",IFERROR(VLOOKUP(B167,Settings!$E$19:$F$23,2,FALSE()),0))</f>
        <v/>
      </c>
      <c r="J165" s="28" t="str">
        <f aca="false">IF(H167="","",IF(OR(B167="Deposit",B167="Cash In"),H167,-(H167/MAX(1-I167,0.0001))))</f>
        <v/>
      </c>
      <c r="K165" s="30" t="str">
        <f aca="false">IF(J167="","",IF(ISNUMBER(K166),K166,Settings!$C$4)+J167)</f>
        <v/>
      </c>
      <c r="L165" s="31"/>
    </row>
    <row r="166" customFormat="false" ht="27.75" hidden="false" customHeight="true" outlineLevel="0" collapsed="false">
      <c r="A166" s="32"/>
      <c r="B166" s="32"/>
      <c r="C166" s="32"/>
      <c r="D166" s="32"/>
      <c r="E166" s="33"/>
      <c r="F166" s="34"/>
      <c r="G166" s="27" t="str">
        <f aca="false">IF(E168="","",IFERROR(VLOOKUP(E168,Settings!$A$7:$B$17,2,FALSE()),1))</f>
        <v/>
      </c>
      <c r="H166" s="28" t="str">
        <f aca="false">IF(OR(F168="",G168=""),"",F168/G168)</f>
        <v/>
      </c>
      <c r="I166" s="29" t="str">
        <f aca="false">IF(B168="","",IFERROR(VLOOKUP(B168,Settings!$E$19:$F$23,2,FALSE()),0))</f>
        <v/>
      </c>
      <c r="J166" s="28" t="str">
        <f aca="false">IF(H168="","",IF(OR(B168="Deposit",B168="Cash In"),H168,-(H168/MAX(1-I168,0.0001))))</f>
        <v/>
      </c>
      <c r="K166" s="30" t="str">
        <f aca="false">IF(J168="","",IF(ISNUMBER(K167),K167,Settings!$C$4)+J168)</f>
        <v/>
      </c>
      <c r="L166" s="31"/>
    </row>
    <row r="167" customFormat="false" ht="27.75" hidden="false" customHeight="true" outlineLevel="0" collapsed="false">
      <c r="A167" s="32"/>
      <c r="B167" s="32"/>
      <c r="C167" s="32"/>
      <c r="D167" s="32"/>
      <c r="E167" s="33"/>
      <c r="F167" s="34"/>
      <c r="G167" s="27" t="str">
        <f aca="false">IF(E169="","",IFERROR(VLOOKUP(E169,Settings!$A$7:$B$17,2,FALSE()),1))</f>
        <v/>
      </c>
      <c r="H167" s="28" t="str">
        <f aca="false">IF(OR(F169="",G169=""),"",F169/G169)</f>
        <v/>
      </c>
      <c r="I167" s="29" t="str">
        <f aca="false">IF(B169="","",IFERROR(VLOOKUP(B169,Settings!$E$19:$F$23,2,FALSE()),0))</f>
        <v/>
      </c>
      <c r="J167" s="28" t="str">
        <f aca="false">IF(H169="","",IF(OR(B169="Deposit",B169="Cash In"),H169,-(H169/MAX(1-I169,0.0001))))</f>
        <v/>
      </c>
      <c r="K167" s="30" t="str">
        <f aca="false">IF(J169="","",IF(ISNUMBER(K168),K168,Settings!$C$4)+J169)</f>
        <v/>
      </c>
      <c r="L167" s="31"/>
    </row>
    <row r="168" customFormat="false" ht="27.75" hidden="false" customHeight="true" outlineLevel="0" collapsed="false">
      <c r="A168" s="32"/>
      <c r="B168" s="32"/>
      <c r="C168" s="32"/>
      <c r="D168" s="32"/>
      <c r="E168" s="33"/>
      <c r="F168" s="34"/>
      <c r="G168" s="27" t="str">
        <f aca="false">IF(E170="","",IFERROR(VLOOKUP(E170,Settings!$A$7:$B$17,2,FALSE()),1))</f>
        <v/>
      </c>
      <c r="H168" s="28" t="str">
        <f aca="false">IF(OR(F170="",G170=""),"",F170/G170)</f>
        <v/>
      </c>
      <c r="I168" s="29" t="str">
        <f aca="false">IF(B170="","",IFERROR(VLOOKUP(B170,Settings!$E$19:$F$23,2,FALSE()),0))</f>
        <v/>
      </c>
      <c r="J168" s="28" t="str">
        <f aca="false">IF(H170="","",IF(OR(B170="Deposit",B170="Cash In"),H170,-(H170/MAX(1-I170,0.0001))))</f>
        <v/>
      </c>
      <c r="K168" s="30" t="str">
        <f aca="false">IF(J170="","",IF(ISNUMBER(K169),K169,Settings!$C$4)+J170)</f>
        <v/>
      </c>
      <c r="L168" s="31"/>
    </row>
    <row r="169" customFormat="false" ht="27.75" hidden="false" customHeight="true" outlineLevel="0" collapsed="false">
      <c r="A169" s="32"/>
      <c r="B169" s="32"/>
      <c r="C169" s="32"/>
      <c r="D169" s="32"/>
      <c r="E169" s="33"/>
      <c r="F169" s="34"/>
      <c r="G169" s="27" t="str">
        <f aca="false">IF(E171="","",IFERROR(VLOOKUP(E171,Settings!$A$7:$B$17,2,FALSE()),1))</f>
        <v/>
      </c>
      <c r="H169" s="28" t="str">
        <f aca="false">IF(OR(F171="",G171=""),"",F171/G171)</f>
        <v/>
      </c>
      <c r="I169" s="29" t="str">
        <f aca="false">IF(B171="","",IFERROR(VLOOKUP(B171,Settings!$E$19:$F$23,2,FALSE()),0))</f>
        <v/>
      </c>
      <c r="J169" s="28" t="str">
        <f aca="false">IF(H171="","",IF(OR(B171="Deposit",B171="Cash In"),H171,-(H171/MAX(1-I171,0.0001))))</f>
        <v/>
      </c>
      <c r="K169" s="30" t="str">
        <f aca="false">IF(J171="","",IF(ISNUMBER(K170),K170,Settings!$C$4)+J171)</f>
        <v/>
      </c>
      <c r="L169" s="31"/>
    </row>
    <row r="170" customFormat="false" ht="27.75" hidden="false" customHeight="true" outlineLevel="0" collapsed="false">
      <c r="A170" s="32"/>
      <c r="B170" s="32"/>
      <c r="C170" s="32"/>
      <c r="D170" s="32"/>
      <c r="E170" s="33"/>
      <c r="F170" s="34"/>
      <c r="G170" s="27" t="str">
        <f aca="false">IF(E172="","",IFERROR(VLOOKUP(E172,Settings!$A$7:$B$17,2,FALSE()),1))</f>
        <v/>
      </c>
      <c r="H170" s="28" t="str">
        <f aca="false">IF(OR(F172="",G172=""),"",F172/G172)</f>
        <v/>
      </c>
      <c r="I170" s="29" t="str">
        <f aca="false">IF(B172="","",IFERROR(VLOOKUP(B172,Settings!$E$19:$F$23,2,FALSE()),0))</f>
        <v/>
      </c>
      <c r="J170" s="28" t="str">
        <f aca="false">IF(H172="","",IF(OR(B172="Deposit",B172="Cash In"),H172,-(H172/MAX(1-I172,0.0001))))</f>
        <v/>
      </c>
      <c r="K170" s="30" t="str">
        <f aca="false">IF(J172="","",IF(ISNUMBER(K171),K171,Settings!$C$4)+J172)</f>
        <v/>
      </c>
      <c r="L170" s="31"/>
    </row>
    <row r="171" customFormat="false" ht="27.75" hidden="false" customHeight="true" outlineLevel="0" collapsed="false">
      <c r="A171" s="32"/>
      <c r="B171" s="32"/>
      <c r="C171" s="32"/>
      <c r="D171" s="32"/>
      <c r="E171" s="33"/>
      <c r="F171" s="34"/>
      <c r="G171" s="27" t="str">
        <f aca="false">IF(E173="","",IFERROR(VLOOKUP(E173,Settings!$A$7:$B$17,2,FALSE()),1))</f>
        <v/>
      </c>
      <c r="H171" s="28" t="str">
        <f aca="false">IF(OR(F173="",G173=""),"",F173/G173)</f>
        <v/>
      </c>
      <c r="I171" s="29" t="str">
        <f aca="false">IF(B173="","",IFERROR(VLOOKUP(B173,Settings!$E$19:$F$23,2,FALSE()),0))</f>
        <v/>
      </c>
      <c r="J171" s="28" t="str">
        <f aca="false">IF(H173="","",IF(OR(B173="Deposit",B173="Cash In"),H173,-(H173/MAX(1-I173,0.0001))))</f>
        <v/>
      </c>
      <c r="K171" s="30" t="str">
        <f aca="false">IF(J173="","",IF(ISNUMBER(K172),K172,Settings!$C$4)+J173)</f>
        <v/>
      </c>
      <c r="L171" s="31"/>
    </row>
    <row r="172" customFormat="false" ht="27.75" hidden="false" customHeight="true" outlineLevel="0" collapsed="false">
      <c r="A172" s="32"/>
      <c r="B172" s="32"/>
      <c r="C172" s="32"/>
      <c r="D172" s="32"/>
      <c r="E172" s="33"/>
      <c r="F172" s="34"/>
      <c r="G172" s="27" t="str">
        <f aca="false">IF(E174="","",IFERROR(VLOOKUP(E174,Settings!$A$7:$B$17,2,FALSE()),1))</f>
        <v/>
      </c>
      <c r="H172" s="28" t="str">
        <f aca="false">IF(OR(F174="",G174=""),"",F174/G174)</f>
        <v/>
      </c>
      <c r="I172" s="29" t="str">
        <f aca="false">IF(B174="","",IFERROR(VLOOKUP(B174,Settings!$E$19:$F$23,2,FALSE()),0))</f>
        <v/>
      </c>
      <c r="J172" s="28" t="str">
        <f aca="false">IF(H174="","",IF(OR(B174="Deposit",B174="Cash In"),H174,-(H174/MAX(1-I174,0.0001))))</f>
        <v/>
      </c>
      <c r="K172" s="30" t="str">
        <f aca="false">IF(J174="","",IF(ISNUMBER(K173),K173,Settings!$C$4)+J174)</f>
        <v/>
      </c>
      <c r="L172" s="31"/>
    </row>
    <row r="173" customFormat="false" ht="27.75" hidden="false" customHeight="true" outlineLevel="0" collapsed="false">
      <c r="A173" s="32"/>
      <c r="B173" s="32"/>
      <c r="C173" s="32"/>
      <c r="D173" s="32"/>
      <c r="E173" s="33"/>
      <c r="F173" s="34"/>
      <c r="G173" s="27" t="str">
        <f aca="false">IF(E175="","",IFERROR(VLOOKUP(E175,Settings!$A$7:$B$17,2,FALSE()),1))</f>
        <v/>
      </c>
      <c r="H173" s="28" t="str">
        <f aca="false">IF(OR(F175="",G175=""),"",F175/G175)</f>
        <v/>
      </c>
      <c r="I173" s="29" t="str">
        <f aca="false">IF(B175="","",IFERROR(VLOOKUP(B175,Settings!$E$19:$F$23,2,FALSE()),0))</f>
        <v/>
      </c>
      <c r="J173" s="28" t="str">
        <f aca="false">IF(H175="","",IF(OR(B175="Deposit",B175="Cash In"),H175,-(H175/MAX(1-I175,0.0001))))</f>
        <v/>
      </c>
      <c r="K173" s="30" t="str">
        <f aca="false">IF(J175="","",IF(ISNUMBER(K174),K174,Settings!$C$4)+J175)</f>
        <v/>
      </c>
      <c r="L173" s="31"/>
    </row>
    <row r="174" customFormat="false" ht="27.75" hidden="false" customHeight="true" outlineLevel="0" collapsed="false">
      <c r="A174" s="32"/>
      <c r="B174" s="32"/>
      <c r="C174" s="32"/>
      <c r="D174" s="32"/>
      <c r="E174" s="33"/>
      <c r="F174" s="34"/>
      <c r="G174" s="27" t="str">
        <f aca="false">IF(E176="","",IFERROR(VLOOKUP(E176,Settings!$A$7:$B$17,2,FALSE()),1))</f>
        <v/>
      </c>
      <c r="H174" s="28" t="str">
        <f aca="false">IF(OR(F176="",G176=""),"",F176/G176)</f>
        <v/>
      </c>
      <c r="I174" s="29" t="str">
        <f aca="false">IF(B176="","",IFERROR(VLOOKUP(B176,Settings!$E$19:$F$23,2,FALSE()),0))</f>
        <v/>
      </c>
      <c r="J174" s="28" t="str">
        <f aca="false">IF(H176="","",IF(OR(B176="Deposit",B176="Cash In"),H176,-(H176/MAX(1-I176,0.0001))))</f>
        <v/>
      </c>
      <c r="K174" s="30" t="str">
        <f aca="false">IF(J176="","",IF(ISNUMBER(K175),K175,Settings!$C$4)+J176)</f>
        <v/>
      </c>
      <c r="L174" s="31"/>
    </row>
    <row r="175" customFormat="false" ht="27.75" hidden="false" customHeight="true" outlineLevel="0" collapsed="false">
      <c r="A175" s="32"/>
      <c r="B175" s="32"/>
      <c r="C175" s="32"/>
      <c r="D175" s="32"/>
      <c r="E175" s="33"/>
      <c r="F175" s="34"/>
      <c r="G175" s="27" t="str">
        <f aca="false">IF(E177="","",IFERROR(VLOOKUP(E177,Settings!$A$7:$B$17,2,FALSE()),1))</f>
        <v/>
      </c>
      <c r="H175" s="28" t="str">
        <f aca="false">IF(OR(F177="",G177=""),"",F177/G177)</f>
        <v/>
      </c>
      <c r="I175" s="29" t="str">
        <f aca="false">IF(B177="","",IFERROR(VLOOKUP(B177,Settings!$E$19:$F$23,2,FALSE()),0))</f>
        <v/>
      </c>
      <c r="J175" s="28" t="str">
        <f aca="false">IF(H177="","",IF(OR(B177="Deposit",B177="Cash In"),H177,-(H177/MAX(1-I177,0.0001))))</f>
        <v/>
      </c>
      <c r="K175" s="30" t="str">
        <f aca="false">IF(J177="","",IF(ISNUMBER(K176),K176,Settings!$C$4)+J177)</f>
        <v/>
      </c>
      <c r="L175" s="31"/>
    </row>
    <row r="176" customFormat="false" ht="27.75" hidden="false" customHeight="true" outlineLevel="0" collapsed="false">
      <c r="A176" s="32"/>
      <c r="B176" s="32"/>
      <c r="C176" s="32"/>
      <c r="D176" s="32"/>
      <c r="E176" s="33"/>
      <c r="F176" s="34"/>
      <c r="G176" s="27" t="str">
        <f aca="false">IF(E178="","",IFERROR(VLOOKUP(E178,Settings!$A$7:$B$17,2,FALSE()),1))</f>
        <v/>
      </c>
      <c r="H176" s="28" t="str">
        <f aca="false">IF(OR(F178="",G178=""),"",F178/G178)</f>
        <v/>
      </c>
      <c r="I176" s="29" t="str">
        <f aca="false">IF(B178="","",IFERROR(VLOOKUP(B178,Settings!$E$19:$F$23,2,FALSE()),0))</f>
        <v/>
      </c>
      <c r="J176" s="28" t="str">
        <f aca="false">IF(H178="","",IF(OR(B178="Deposit",B178="Cash In"),H178,-(H178/MAX(1-I178,0.0001))))</f>
        <v/>
      </c>
      <c r="K176" s="30" t="str">
        <f aca="false">IF(J178="","",IF(ISNUMBER(K177),K177,Settings!$C$4)+J178)</f>
        <v/>
      </c>
      <c r="L176" s="31"/>
    </row>
    <row r="177" customFormat="false" ht="27.75" hidden="false" customHeight="true" outlineLevel="0" collapsed="false">
      <c r="A177" s="32"/>
      <c r="B177" s="32"/>
      <c r="C177" s="32"/>
      <c r="D177" s="32"/>
      <c r="E177" s="33"/>
      <c r="F177" s="34"/>
      <c r="G177" s="27" t="str">
        <f aca="false">IF(E179="","",IFERROR(VLOOKUP(E179,Settings!$A$7:$B$17,2,FALSE()),1))</f>
        <v/>
      </c>
      <c r="H177" s="28" t="str">
        <f aca="false">IF(OR(F179="",G179=""),"",F179/G179)</f>
        <v/>
      </c>
      <c r="I177" s="29" t="str">
        <f aca="false">IF(B179="","",IFERROR(VLOOKUP(B179,Settings!$E$19:$F$23,2,FALSE()),0))</f>
        <v/>
      </c>
      <c r="J177" s="28" t="str">
        <f aca="false">IF(H179="","",IF(OR(B179="Deposit",B179="Cash In"),H179,-(H179/MAX(1-I179,0.0001))))</f>
        <v/>
      </c>
      <c r="K177" s="30" t="str">
        <f aca="false">IF(J179="","",IF(ISNUMBER(K178),K178,Settings!$C$4)+J179)</f>
        <v/>
      </c>
      <c r="L177" s="31"/>
    </row>
    <row r="178" customFormat="false" ht="27.75" hidden="false" customHeight="true" outlineLevel="0" collapsed="false">
      <c r="A178" s="32"/>
      <c r="B178" s="32"/>
      <c r="C178" s="32"/>
      <c r="D178" s="32"/>
      <c r="E178" s="33"/>
      <c r="F178" s="34"/>
      <c r="G178" s="27" t="str">
        <f aca="false">IF(E180="","",IFERROR(VLOOKUP(E180,Settings!$A$7:$B$17,2,FALSE()),1))</f>
        <v/>
      </c>
      <c r="H178" s="28" t="str">
        <f aca="false">IF(OR(F180="",G180=""),"",F180/G180)</f>
        <v/>
      </c>
      <c r="I178" s="29" t="str">
        <f aca="false">IF(B180="","",IFERROR(VLOOKUP(B180,Settings!$E$19:$F$23,2,FALSE()),0))</f>
        <v/>
      </c>
      <c r="J178" s="28" t="str">
        <f aca="false">IF(H180="","",IF(OR(B180="Deposit",B180="Cash In"),H180,-(H180/MAX(1-I180,0.0001))))</f>
        <v/>
      </c>
      <c r="K178" s="30" t="str">
        <f aca="false">IF(J180="","",IF(ISNUMBER(K179),K179,Settings!$C$4)+J180)</f>
        <v/>
      </c>
      <c r="L178" s="31"/>
    </row>
    <row r="179" customFormat="false" ht="27.75" hidden="false" customHeight="true" outlineLevel="0" collapsed="false">
      <c r="A179" s="32"/>
      <c r="B179" s="32"/>
      <c r="C179" s="32"/>
      <c r="D179" s="32"/>
      <c r="E179" s="33"/>
      <c r="F179" s="34"/>
      <c r="G179" s="27" t="str">
        <f aca="false">IF(E181="","",IFERROR(VLOOKUP(E181,Settings!$A$7:$B$17,2,FALSE()),1))</f>
        <v/>
      </c>
      <c r="H179" s="28" t="str">
        <f aca="false">IF(OR(F181="",G181=""),"",F181/G181)</f>
        <v/>
      </c>
      <c r="I179" s="29" t="str">
        <f aca="false">IF(B181="","",IFERROR(VLOOKUP(B181,Settings!$E$19:$F$23,2,FALSE()),0))</f>
        <v/>
      </c>
      <c r="J179" s="28" t="str">
        <f aca="false">IF(H181="","",IF(OR(B181="Deposit",B181="Cash In"),H181,-(H181/MAX(1-I181,0.0001))))</f>
        <v/>
      </c>
      <c r="K179" s="30" t="str">
        <f aca="false">IF(J181="","",IF(ISNUMBER(K180),K180,Settings!$C$4)+J181)</f>
        <v/>
      </c>
      <c r="L179" s="31"/>
    </row>
    <row r="180" customFormat="false" ht="27.75" hidden="false" customHeight="true" outlineLevel="0" collapsed="false">
      <c r="A180" s="32"/>
      <c r="B180" s="32"/>
      <c r="C180" s="32"/>
      <c r="D180" s="32"/>
      <c r="E180" s="33"/>
      <c r="F180" s="34"/>
      <c r="G180" s="27" t="str">
        <f aca="false">IF(E182="","",IFERROR(VLOOKUP(E182,Settings!$A$7:$B$17,2,FALSE()),1))</f>
        <v/>
      </c>
      <c r="H180" s="28" t="str">
        <f aca="false">IF(OR(F182="",G182=""),"",F182/G182)</f>
        <v/>
      </c>
      <c r="I180" s="29" t="str">
        <f aca="false">IF(B182="","",IFERROR(VLOOKUP(B182,Settings!$E$19:$F$23,2,FALSE()),0))</f>
        <v/>
      </c>
      <c r="J180" s="28" t="str">
        <f aca="false">IF(H182="","",IF(OR(B182="Deposit",B182="Cash In"),H182,-(H182/MAX(1-I182,0.0001))))</f>
        <v/>
      </c>
      <c r="K180" s="30" t="str">
        <f aca="false">IF(J182="","",IF(ISNUMBER(K181),K181,Settings!$C$4)+J182)</f>
        <v/>
      </c>
      <c r="L180" s="31"/>
    </row>
    <row r="181" customFormat="false" ht="27.75" hidden="false" customHeight="true" outlineLevel="0" collapsed="false">
      <c r="A181" s="32"/>
      <c r="B181" s="32"/>
      <c r="C181" s="32"/>
      <c r="D181" s="32"/>
      <c r="E181" s="33"/>
      <c r="F181" s="34"/>
      <c r="G181" s="27" t="str">
        <f aca="false">IF(E183="","",IFERROR(VLOOKUP(E183,Settings!$A$7:$B$17,2,FALSE()),1))</f>
        <v/>
      </c>
      <c r="H181" s="28" t="str">
        <f aca="false">IF(OR(F183="",G183=""),"",F183/G183)</f>
        <v/>
      </c>
      <c r="I181" s="29" t="str">
        <f aca="false">IF(B183="","",IFERROR(VLOOKUP(B183,Settings!$E$19:$F$23,2,FALSE()),0))</f>
        <v/>
      </c>
      <c r="J181" s="28" t="str">
        <f aca="false">IF(H183="","",IF(OR(B183="Deposit",B183="Cash In"),H183,-(H183/MAX(1-I183,0.0001))))</f>
        <v/>
      </c>
      <c r="K181" s="30" t="str">
        <f aca="false">IF(J183="","",IF(ISNUMBER(K182),K182,Settings!$C$4)+J183)</f>
        <v/>
      </c>
      <c r="L181" s="31"/>
    </row>
    <row r="182" customFormat="false" ht="27.75" hidden="false" customHeight="true" outlineLevel="0" collapsed="false">
      <c r="A182" s="32"/>
      <c r="B182" s="32"/>
      <c r="C182" s="32"/>
      <c r="D182" s="32"/>
      <c r="E182" s="33"/>
      <c r="F182" s="34"/>
      <c r="G182" s="27" t="str">
        <f aca="false">IF(E184="","",IFERROR(VLOOKUP(E184,Settings!$A$7:$B$17,2,FALSE()),1))</f>
        <v/>
      </c>
      <c r="H182" s="28" t="str">
        <f aca="false">IF(OR(F184="",G184=""),"",F184/G184)</f>
        <v/>
      </c>
      <c r="I182" s="29" t="str">
        <f aca="false">IF(B184="","",IFERROR(VLOOKUP(B184,Settings!$E$19:$F$23,2,FALSE()),0))</f>
        <v/>
      </c>
      <c r="J182" s="28" t="str">
        <f aca="false">IF(H184="","",IF(OR(B184="Deposit",B184="Cash In"),H184,-(H184/MAX(1-I184,0.0001))))</f>
        <v/>
      </c>
      <c r="K182" s="30" t="str">
        <f aca="false">IF(J184="","",IF(ISNUMBER(K183),K183,Settings!$C$4)+J184)</f>
        <v/>
      </c>
      <c r="L182" s="31"/>
    </row>
    <row r="183" customFormat="false" ht="27.75" hidden="false" customHeight="true" outlineLevel="0" collapsed="false">
      <c r="A183" s="32"/>
      <c r="B183" s="32"/>
      <c r="C183" s="32"/>
      <c r="D183" s="32"/>
      <c r="E183" s="33"/>
      <c r="F183" s="34"/>
      <c r="G183" s="27" t="str">
        <f aca="false">IF(E185="","",IFERROR(VLOOKUP(E185,Settings!$A$7:$B$17,2,FALSE()),1))</f>
        <v/>
      </c>
      <c r="H183" s="28" t="str">
        <f aca="false">IF(OR(F185="",G185=""),"",F185/G185)</f>
        <v/>
      </c>
      <c r="I183" s="29" t="str">
        <f aca="false">IF(B185="","",IFERROR(VLOOKUP(B185,Settings!$E$19:$F$23,2,FALSE()),0))</f>
        <v/>
      </c>
      <c r="J183" s="28" t="str">
        <f aca="false">IF(H185="","",IF(OR(B185="Deposit",B185="Cash In"),H185,-(H185/MAX(1-I185,0.0001))))</f>
        <v/>
      </c>
      <c r="K183" s="30" t="str">
        <f aca="false">IF(J185="","",IF(ISNUMBER(K184),K184,Settings!$C$4)+J185)</f>
        <v/>
      </c>
      <c r="L183" s="31"/>
    </row>
    <row r="184" customFormat="false" ht="27.75" hidden="false" customHeight="true" outlineLevel="0" collapsed="false">
      <c r="A184" s="32"/>
      <c r="B184" s="32"/>
      <c r="C184" s="32"/>
      <c r="D184" s="32"/>
      <c r="E184" s="33"/>
      <c r="F184" s="34"/>
      <c r="G184" s="27" t="str">
        <f aca="false">IF(E186="","",IFERROR(VLOOKUP(E186,Settings!$A$7:$B$17,2,FALSE()),1))</f>
        <v/>
      </c>
      <c r="H184" s="28" t="str">
        <f aca="false">IF(OR(F186="",G186=""),"",F186/G186)</f>
        <v/>
      </c>
      <c r="I184" s="29" t="str">
        <f aca="false">IF(B186="","",IFERROR(VLOOKUP(B186,Settings!$E$19:$F$23,2,FALSE()),0))</f>
        <v/>
      </c>
      <c r="J184" s="28" t="str">
        <f aca="false">IF(H186="","",IF(OR(B186="Deposit",B186="Cash In"),H186,-(H186/MAX(1-I186,0.0001))))</f>
        <v/>
      </c>
      <c r="K184" s="30" t="str">
        <f aca="false">IF(J186="","",IF(ISNUMBER(K185),K185,Settings!$C$4)+J186)</f>
        <v/>
      </c>
      <c r="L184" s="31"/>
    </row>
    <row r="185" customFormat="false" ht="27.75" hidden="false" customHeight="true" outlineLevel="0" collapsed="false">
      <c r="A185" s="32"/>
      <c r="B185" s="32"/>
      <c r="C185" s="32"/>
      <c r="D185" s="32"/>
      <c r="E185" s="33"/>
      <c r="F185" s="34"/>
      <c r="G185" s="27" t="str">
        <f aca="false">IF(E187="","",IFERROR(VLOOKUP(E187,Settings!$A$7:$B$17,2,FALSE()),1))</f>
        <v/>
      </c>
      <c r="H185" s="28" t="str">
        <f aca="false">IF(OR(F187="",G187=""),"",F187/G187)</f>
        <v/>
      </c>
      <c r="I185" s="29" t="str">
        <f aca="false">IF(B187="","",IFERROR(VLOOKUP(B187,Settings!$E$19:$F$23,2,FALSE()),0))</f>
        <v/>
      </c>
      <c r="J185" s="28" t="str">
        <f aca="false">IF(H187="","",IF(OR(B187="Deposit",B187="Cash In"),H187,-(H187/MAX(1-I187,0.0001))))</f>
        <v/>
      </c>
      <c r="K185" s="30" t="str">
        <f aca="false">IF(J187="","",IF(ISNUMBER(K186),K186,Settings!$C$4)+J187)</f>
        <v/>
      </c>
      <c r="L185" s="31"/>
    </row>
    <row r="186" customFormat="false" ht="27.75" hidden="false" customHeight="true" outlineLevel="0" collapsed="false">
      <c r="A186" s="32"/>
      <c r="B186" s="32"/>
      <c r="C186" s="32"/>
      <c r="D186" s="32"/>
      <c r="E186" s="33"/>
      <c r="F186" s="34"/>
      <c r="G186" s="27" t="str">
        <f aca="false">IF(E188="","",IFERROR(VLOOKUP(E188,Settings!$A$7:$B$17,2,FALSE()),1))</f>
        <v/>
      </c>
      <c r="H186" s="28" t="str">
        <f aca="false">IF(OR(F188="",G188=""),"",F188/G188)</f>
        <v/>
      </c>
      <c r="I186" s="29" t="str">
        <f aca="false">IF(B188="","",IFERROR(VLOOKUP(B188,Settings!$E$19:$F$23,2,FALSE()),0))</f>
        <v/>
      </c>
      <c r="J186" s="28" t="str">
        <f aca="false">IF(H188="","",IF(OR(B188="Deposit",B188="Cash In"),H188,-(H188/MAX(1-I188,0.0001))))</f>
        <v/>
      </c>
      <c r="K186" s="30" t="str">
        <f aca="false">IF(J188="","",IF(ISNUMBER(K187),K187,Settings!$C$4)+J188)</f>
        <v/>
      </c>
      <c r="L186" s="31"/>
    </row>
    <row r="187" customFormat="false" ht="27.75" hidden="false" customHeight="true" outlineLevel="0" collapsed="false">
      <c r="A187" s="32"/>
      <c r="B187" s="32"/>
      <c r="C187" s="32"/>
      <c r="D187" s="32"/>
      <c r="E187" s="33"/>
      <c r="F187" s="34"/>
      <c r="G187" s="27" t="str">
        <f aca="false">IF(E189="","",IFERROR(VLOOKUP(E189,Settings!$A$7:$B$17,2,FALSE()),1))</f>
        <v/>
      </c>
      <c r="H187" s="28" t="str">
        <f aca="false">IF(OR(F189="",G189=""),"",F189/G189)</f>
        <v/>
      </c>
      <c r="I187" s="29" t="str">
        <f aca="false">IF(B189="","",IFERROR(VLOOKUP(B189,Settings!$E$19:$F$23,2,FALSE()),0))</f>
        <v/>
      </c>
      <c r="J187" s="28" t="str">
        <f aca="false">IF(H189="","",IF(OR(B189="Deposit",B189="Cash In"),H189,-(H189/MAX(1-I189,0.0001))))</f>
        <v/>
      </c>
      <c r="K187" s="30" t="str">
        <f aca="false">IF(J189="","",IF(ISNUMBER(K188),K188,Settings!$C$4)+J189)</f>
        <v/>
      </c>
      <c r="L187" s="31"/>
    </row>
    <row r="188" customFormat="false" ht="27.75" hidden="false" customHeight="true" outlineLevel="0" collapsed="false">
      <c r="A188" s="32"/>
      <c r="B188" s="32"/>
      <c r="C188" s="32"/>
      <c r="D188" s="32"/>
      <c r="E188" s="33"/>
      <c r="F188" s="34"/>
      <c r="G188" s="27" t="str">
        <f aca="false">IF(E190="","",IFERROR(VLOOKUP(E190,Settings!$A$7:$B$17,2,FALSE()),1))</f>
        <v/>
      </c>
      <c r="H188" s="28" t="str">
        <f aca="false">IF(OR(F190="",G190=""),"",F190/G190)</f>
        <v/>
      </c>
      <c r="I188" s="29" t="str">
        <f aca="false">IF(B190="","",IFERROR(VLOOKUP(B190,Settings!$E$19:$F$23,2,FALSE()),0))</f>
        <v/>
      </c>
      <c r="J188" s="28" t="str">
        <f aca="false">IF(H190="","",IF(OR(B190="Deposit",B190="Cash In"),H190,-(H190/MAX(1-I190,0.0001))))</f>
        <v/>
      </c>
      <c r="K188" s="30" t="str">
        <f aca="false">IF(J190="","",IF(ISNUMBER(K189),K189,Settings!$C$4)+J190)</f>
        <v/>
      </c>
      <c r="L188" s="31"/>
    </row>
    <row r="189" customFormat="false" ht="27.75" hidden="false" customHeight="true" outlineLevel="0" collapsed="false">
      <c r="A189" s="32"/>
      <c r="B189" s="32"/>
      <c r="C189" s="32"/>
      <c r="D189" s="32"/>
      <c r="E189" s="33"/>
      <c r="F189" s="34"/>
      <c r="G189" s="27" t="str">
        <f aca="false">IF(E191="","",IFERROR(VLOOKUP(E191,Settings!$A$7:$B$17,2,FALSE()),1))</f>
        <v/>
      </c>
      <c r="H189" s="28" t="str">
        <f aca="false">IF(OR(F191="",G191=""),"",F191/G191)</f>
        <v/>
      </c>
      <c r="I189" s="29" t="str">
        <f aca="false">IF(B191="","",IFERROR(VLOOKUP(B191,Settings!$E$19:$F$23,2,FALSE()),0))</f>
        <v/>
      </c>
      <c r="J189" s="28" t="str">
        <f aca="false">IF(H191="","",IF(OR(B191="Deposit",B191="Cash In"),H191,-(H191/MAX(1-I191,0.0001))))</f>
        <v/>
      </c>
      <c r="K189" s="30" t="str">
        <f aca="false">IF(J191="","",IF(ISNUMBER(K190),K190,Settings!$C$4)+J191)</f>
        <v/>
      </c>
      <c r="L189" s="31"/>
    </row>
    <row r="190" customFormat="false" ht="27.75" hidden="false" customHeight="true" outlineLevel="0" collapsed="false">
      <c r="A190" s="32"/>
      <c r="B190" s="32"/>
      <c r="C190" s="32"/>
      <c r="D190" s="32"/>
      <c r="E190" s="33"/>
      <c r="F190" s="34"/>
      <c r="G190" s="27" t="str">
        <f aca="false">IF(E192="","",IFERROR(VLOOKUP(E192,Settings!$A$7:$B$17,2,FALSE()),1))</f>
        <v/>
      </c>
      <c r="H190" s="28" t="str">
        <f aca="false">IF(OR(F192="",G192=""),"",F192/G192)</f>
        <v/>
      </c>
      <c r="I190" s="29" t="str">
        <f aca="false">IF(B192="","",IFERROR(VLOOKUP(B192,Settings!$E$19:$F$23,2,FALSE()),0))</f>
        <v/>
      </c>
      <c r="J190" s="28" t="str">
        <f aca="false">IF(H192="","",IF(OR(B192="Deposit",B192="Cash In"),H192,-(H192/MAX(1-I192,0.0001))))</f>
        <v/>
      </c>
      <c r="K190" s="30" t="str">
        <f aca="false">IF(J192="","",IF(ISNUMBER(K191),K191,Settings!$C$4)+J192)</f>
        <v/>
      </c>
      <c r="L190" s="31"/>
    </row>
    <row r="191" customFormat="false" ht="27.75" hidden="false" customHeight="true" outlineLevel="0" collapsed="false">
      <c r="A191" s="32"/>
      <c r="B191" s="32"/>
      <c r="C191" s="32"/>
      <c r="D191" s="32"/>
      <c r="E191" s="33"/>
      <c r="F191" s="34"/>
      <c r="G191" s="27" t="str">
        <f aca="false">IF(E193="","",IFERROR(VLOOKUP(E193,Settings!$A$7:$B$17,2,FALSE()),1))</f>
        <v/>
      </c>
      <c r="H191" s="28" t="str">
        <f aca="false">IF(OR(F193="",G193=""),"",F193/G193)</f>
        <v/>
      </c>
      <c r="I191" s="29" t="str">
        <f aca="false">IF(B193="","",IFERROR(VLOOKUP(B193,Settings!$E$19:$F$23,2,FALSE()),0))</f>
        <v/>
      </c>
      <c r="J191" s="28" t="str">
        <f aca="false">IF(H193="","",IF(OR(B193="Deposit",B193="Cash In"),H193,-(H193/MAX(1-I193,0.0001))))</f>
        <v/>
      </c>
      <c r="K191" s="30" t="str">
        <f aca="false">IF(J193="","",IF(ISNUMBER(K192),K192,Settings!$C$4)+J193)</f>
        <v/>
      </c>
      <c r="L191" s="31"/>
    </row>
    <row r="192" customFormat="false" ht="27.75" hidden="false" customHeight="true" outlineLevel="0" collapsed="false">
      <c r="A192" s="32"/>
      <c r="B192" s="32"/>
      <c r="C192" s="32"/>
      <c r="D192" s="32"/>
      <c r="E192" s="33"/>
      <c r="F192" s="34"/>
      <c r="G192" s="27" t="str">
        <f aca="false">IF(E194="","",IFERROR(VLOOKUP(E194,Settings!$A$7:$B$17,2,FALSE()),1))</f>
        <v/>
      </c>
      <c r="H192" s="28" t="str">
        <f aca="false">IF(OR(F194="",G194=""),"",F194/G194)</f>
        <v/>
      </c>
      <c r="I192" s="29" t="str">
        <f aca="false">IF(B194="","",IFERROR(VLOOKUP(B194,Settings!$E$19:$F$23,2,FALSE()),0))</f>
        <v/>
      </c>
      <c r="J192" s="28" t="str">
        <f aca="false">IF(H194="","",IF(OR(B194="Deposit",B194="Cash In"),H194,-(H194/MAX(1-I194,0.0001))))</f>
        <v/>
      </c>
      <c r="K192" s="30" t="str">
        <f aca="false">IF(J194="","",IF(ISNUMBER(K193),K193,Settings!$C$4)+J194)</f>
        <v/>
      </c>
      <c r="L192" s="31"/>
    </row>
    <row r="193" customFormat="false" ht="27.75" hidden="false" customHeight="true" outlineLevel="0" collapsed="false">
      <c r="A193" s="32"/>
      <c r="B193" s="32"/>
      <c r="C193" s="32"/>
      <c r="D193" s="32"/>
      <c r="E193" s="33"/>
      <c r="F193" s="34"/>
      <c r="G193" s="27" t="str">
        <f aca="false">IF(E195="","",IFERROR(VLOOKUP(E195,Settings!$A$7:$B$17,2,FALSE()),1))</f>
        <v/>
      </c>
      <c r="H193" s="28" t="str">
        <f aca="false">IF(OR(F195="",G195=""),"",F195/G195)</f>
        <v/>
      </c>
      <c r="I193" s="29" t="str">
        <f aca="false">IF(B195="","",IFERROR(VLOOKUP(B195,Settings!$E$19:$F$23,2,FALSE()),0))</f>
        <v/>
      </c>
      <c r="J193" s="28" t="str">
        <f aca="false">IF(H195="","",IF(OR(B195="Deposit",B195="Cash In"),H195,-(H195/MAX(1-I195,0.0001))))</f>
        <v/>
      </c>
      <c r="K193" s="30" t="str">
        <f aca="false">IF(J195="","",IF(ISNUMBER(K194),K194,Settings!$C$4)+J195)</f>
        <v/>
      </c>
      <c r="L193" s="31"/>
    </row>
    <row r="194" customFormat="false" ht="27.75" hidden="false" customHeight="true" outlineLevel="0" collapsed="false">
      <c r="A194" s="32"/>
      <c r="B194" s="32"/>
      <c r="C194" s="32"/>
      <c r="D194" s="32"/>
      <c r="E194" s="33"/>
      <c r="F194" s="34"/>
      <c r="G194" s="27" t="str">
        <f aca="false">IF(E196="","",IFERROR(VLOOKUP(E196,Settings!$A$7:$B$17,2,FALSE()),1))</f>
        <v/>
      </c>
      <c r="H194" s="28" t="str">
        <f aca="false">IF(OR(F196="",G196=""),"",F196/G196)</f>
        <v/>
      </c>
      <c r="I194" s="29" t="str">
        <f aca="false">IF(B196="","",IFERROR(VLOOKUP(B196,Settings!$E$19:$F$23,2,FALSE()),0))</f>
        <v/>
      </c>
      <c r="J194" s="28" t="str">
        <f aca="false">IF(H196="","",IF(OR(B196="Deposit",B196="Cash In"),H196,-(H196/MAX(1-I196,0.0001))))</f>
        <v/>
      </c>
      <c r="K194" s="30" t="str">
        <f aca="false">IF(J196="","",IF(ISNUMBER(K195),K195,Settings!$C$4)+J196)</f>
        <v/>
      </c>
      <c r="L194" s="31"/>
    </row>
    <row r="195" customFormat="false" ht="27.75" hidden="false" customHeight="true" outlineLevel="0" collapsed="false">
      <c r="A195" s="32"/>
      <c r="B195" s="32"/>
      <c r="C195" s="32"/>
      <c r="D195" s="32"/>
      <c r="E195" s="33"/>
      <c r="F195" s="34"/>
      <c r="G195" s="27" t="str">
        <f aca="false">IF(E197="","",IFERROR(VLOOKUP(E197,Settings!$A$7:$B$17,2,FALSE()),1))</f>
        <v/>
      </c>
      <c r="H195" s="28" t="str">
        <f aca="false">IF(OR(F197="",G197=""),"",F197/G197)</f>
        <v/>
      </c>
      <c r="I195" s="29" t="str">
        <f aca="false">IF(B197="","",IFERROR(VLOOKUP(B197,Settings!$E$19:$F$23,2,FALSE()),0))</f>
        <v/>
      </c>
      <c r="J195" s="28" t="str">
        <f aca="false">IF(H197="","",IF(OR(B197="Deposit",B197="Cash In"),H197,-(H197/MAX(1-I197,0.0001))))</f>
        <v/>
      </c>
      <c r="K195" s="30" t="str">
        <f aca="false">IF(J197="","",IF(ISNUMBER(K196),K196,Settings!$C$4)+J197)</f>
        <v/>
      </c>
      <c r="L195" s="31"/>
    </row>
    <row r="196" customFormat="false" ht="27.75" hidden="false" customHeight="true" outlineLevel="0" collapsed="false">
      <c r="A196" s="32"/>
      <c r="B196" s="32"/>
      <c r="C196" s="32"/>
      <c r="D196" s="32"/>
      <c r="E196" s="33"/>
      <c r="F196" s="34"/>
      <c r="G196" s="27" t="str">
        <f aca="false">IF(E198="","",IFERROR(VLOOKUP(E198,Settings!$A$7:$B$17,2,FALSE()),1))</f>
        <v/>
      </c>
      <c r="H196" s="28" t="str">
        <f aca="false">IF(OR(F198="",G198=""),"",F198/G198)</f>
        <v/>
      </c>
      <c r="I196" s="29" t="str">
        <f aca="false">IF(B198="","",IFERROR(VLOOKUP(B198,Settings!$E$19:$F$23,2,FALSE()),0))</f>
        <v/>
      </c>
      <c r="J196" s="28" t="str">
        <f aca="false">IF(H198="","",IF(OR(B198="Deposit",B198="Cash In"),H198,-(H198/MAX(1-I198,0.0001))))</f>
        <v/>
      </c>
      <c r="K196" s="30" t="str">
        <f aca="false">IF(J198="","",IF(ISNUMBER(K197),K197,Settings!$C$4)+J198)</f>
        <v/>
      </c>
      <c r="L196" s="31"/>
    </row>
    <row r="197" customFormat="false" ht="27.75" hidden="false" customHeight="true" outlineLevel="0" collapsed="false">
      <c r="A197" s="32"/>
      <c r="B197" s="32"/>
      <c r="C197" s="32"/>
      <c r="D197" s="32"/>
      <c r="E197" s="33"/>
      <c r="F197" s="34"/>
      <c r="G197" s="27" t="str">
        <f aca="false">IF(E199="","",IFERROR(VLOOKUP(E199,Settings!$A$7:$B$17,2,FALSE()),1))</f>
        <v/>
      </c>
      <c r="H197" s="28" t="str">
        <f aca="false">IF(OR(F199="",G199=""),"",F199/G199)</f>
        <v/>
      </c>
      <c r="I197" s="29" t="str">
        <f aca="false">IF(B199="","",IFERROR(VLOOKUP(B199,Settings!$E$19:$F$23,2,FALSE()),0))</f>
        <v/>
      </c>
      <c r="J197" s="28" t="str">
        <f aca="false">IF(H199="","",IF(OR(B199="Deposit",B199="Cash In"),H199,-(H199/MAX(1-I199,0.0001))))</f>
        <v/>
      </c>
      <c r="K197" s="30" t="str">
        <f aca="false">IF(J199="","",IF(ISNUMBER(K198),K198,Settings!$C$4)+J199)</f>
        <v/>
      </c>
      <c r="L197" s="31"/>
    </row>
    <row r="198" customFormat="false" ht="27.75" hidden="false" customHeight="true" outlineLevel="0" collapsed="false">
      <c r="A198" s="32"/>
      <c r="B198" s="32"/>
      <c r="C198" s="32"/>
      <c r="D198" s="32"/>
      <c r="E198" s="33"/>
      <c r="F198" s="34"/>
      <c r="G198" s="27" t="str">
        <f aca="false">IF(E200="","",IFERROR(VLOOKUP(E200,Settings!$A$7:$B$17,2,FALSE()),1))</f>
        <v/>
      </c>
      <c r="H198" s="28" t="str">
        <f aca="false">IF(OR(F200="",G200=""),"",F200/G200)</f>
        <v/>
      </c>
      <c r="I198" s="29" t="str">
        <f aca="false">IF(B200="","",IFERROR(VLOOKUP(B200,Settings!$E$19:$F$23,2,FALSE()),0))</f>
        <v/>
      </c>
      <c r="J198" s="28" t="str">
        <f aca="false">IF(H200="","",IF(OR(B200="Deposit",B200="Cash In"),H200,-(H200/MAX(1-I200,0.0001))))</f>
        <v/>
      </c>
      <c r="K198" s="30" t="str">
        <f aca="false">IF(J200="","",IF(ISNUMBER(K199),K199,Settings!$C$4)+J200)</f>
        <v/>
      </c>
      <c r="L198" s="31"/>
    </row>
    <row r="199" customFormat="false" ht="27.75" hidden="false" customHeight="true" outlineLevel="0" collapsed="false">
      <c r="A199" s="32"/>
      <c r="B199" s="32"/>
      <c r="C199" s="32"/>
      <c r="D199" s="32"/>
      <c r="E199" s="33"/>
      <c r="F199" s="34"/>
      <c r="G199" s="27" t="str">
        <f aca="false">IF(E201="","",IFERROR(VLOOKUP(E201,Settings!$A$7:$B$17,2,FALSE()),1))</f>
        <v/>
      </c>
      <c r="H199" s="28" t="str">
        <f aca="false">IF(OR(F201="",G201=""),"",F201/G201)</f>
        <v/>
      </c>
      <c r="I199" s="29" t="str">
        <f aca="false">IF(B201="","",IFERROR(VLOOKUP(B201,Settings!$E$19:$F$23,2,FALSE()),0))</f>
        <v/>
      </c>
      <c r="J199" s="28" t="str">
        <f aca="false">IF(H201="","",IF(OR(B201="Deposit",B201="Cash In"),H201,-(H201/MAX(1-I201,0.0001))))</f>
        <v/>
      </c>
      <c r="K199" s="30" t="str">
        <f aca="false">IF(J201="","",IF(ISNUMBER(K200),K200,Settings!$C$4)+J201)</f>
        <v/>
      </c>
      <c r="L199" s="31"/>
    </row>
    <row r="200" customFormat="false" ht="27.75" hidden="false" customHeight="true" outlineLevel="0" collapsed="false">
      <c r="A200" s="32"/>
      <c r="B200" s="32"/>
      <c r="C200" s="32"/>
      <c r="D200" s="32"/>
      <c r="E200" s="33"/>
      <c r="F200" s="34"/>
      <c r="G200" s="27" t="str">
        <f aca="false">IF(E202="","",IFERROR(VLOOKUP(E202,Settings!$A$7:$B$17,2,FALSE()),1))</f>
        <v/>
      </c>
      <c r="H200" s="28" t="str">
        <f aca="false">IF(OR(F202="",G202=""),"",F202/G202)</f>
        <v/>
      </c>
      <c r="I200" s="29" t="str">
        <f aca="false">IF(B202="","",IFERROR(VLOOKUP(B202,Settings!$E$19:$F$23,2,FALSE()),0))</f>
        <v/>
      </c>
      <c r="J200" s="28" t="str">
        <f aca="false">IF(H202="","",IF(OR(B202="Deposit",B202="Cash In"),H202,-(H202/MAX(1-I202,0.0001))))</f>
        <v/>
      </c>
      <c r="K200" s="30" t="str">
        <f aca="false">IF(J202="","",IF(ISNUMBER(K201),K201,Settings!$C$4)+J202)</f>
        <v/>
      </c>
      <c r="L200" s="31"/>
    </row>
    <row r="201" customFormat="false" ht="18" hidden="false" customHeight="true" outlineLevel="0" collapsed="false">
      <c r="A201" s="32"/>
      <c r="B201" s="32"/>
      <c r="C201" s="41"/>
      <c r="D201" s="32"/>
      <c r="E201" s="33"/>
      <c r="F201" s="42"/>
      <c r="G201" s="27" t="str">
        <f aca="false">IF(E203="","",IFERROR(VLOOKUP(E203,Settings!$A$7:$B$17,2,FALSE()),1))</f>
        <v/>
      </c>
      <c r="H201" s="43" t="str">
        <f aca="false">IF(OR(F203="",G203=""),"",F203/G203)</f>
        <v/>
      </c>
      <c r="I201" s="29" t="str">
        <f aca="false">IF(B203="","",IFERROR(VLOOKUP(B203,Settings!$E$19:$F$23,2,FALSE()),0))</f>
        <v/>
      </c>
      <c r="J201" s="43" t="str">
        <f aca="false">IF(H203="","",IF(OR(B203="Deposit",B203="Cash In"),H203,-(H203/MAX(1-I203,0.0001))))</f>
        <v/>
      </c>
      <c r="K201" s="44" t="str">
        <f aca="false">IF(J203="","",IF(ISNUMBER(K202),K202,Settings!$C$4)+J203)</f>
        <v/>
      </c>
      <c r="L201" s="45"/>
    </row>
    <row r="202" customFormat="false" ht="18" hidden="false" customHeight="true" outlineLevel="0" collapsed="false">
      <c r="A202" s="32"/>
      <c r="B202" s="32"/>
      <c r="C202" s="41"/>
      <c r="D202" s="32"/>
      <c r="E202" s="33"/>
      <c r="F202" s="42"/>
      <c r="G202" s="27" t="str">
        <f aca="false">IF(E204="","",IFERROR(VLOOKUP(E204,Settings!$A$7:$B$17,2,FALSE()),1))</f>
        <v/>
      </c>
      <c r="H202" s="43" t="str">
        <f aca="false">IF(OR(F204="",G204=""),"",F204/G204)</f>
        <v/>
      </c>
      <c r="I202" s="29" t="str">
        <f aca="false">IF(B204="","",IFERROR(VLOOKUP(B204,Settings!$E$19:$F$23,2,FALSE()),0))</f>
        <v/>
      </c>
      <c r="J202" s="43" t="str">
        <f aca="false">IF(H204="","",IF(OR(B204="Deposit",B204="Cash In"),H204,-(H204/MAX(1-I204,0.0001))))</f>
        <v/>
      </c>
      <c r="K202" s="44" t="str">
        <f aca="false">IF(J204="","",IF(ISNUMBER(K203),K203,Settings!$C$4)+J204)</f>
        <v/>
      </c>
      <c r="L202" s="45"/>
    </row>
    <row r="203" customFormat="false" ht="18" hidden="false" customHeight="true" outlineLevel="0" collapsed="false">
      <c r="A203" s="32"/>
      <c r="B203" s="32"/>
      <c r="C203" s="41"/>
      <c r="D203" s="32"/>
      <c r="E203" s="33"/>
      <c r="F203" s="42"/>
      <c r="G203" s="27" t="str">
        <f aca="false">IF(E205="","",IFERROR(VLOOKUP(E205,Settings!$A$7:$B$17,2,FALSE()),1))</f>
        <v/>
      </c>
      <c r="H203" s="43" t="str">
        <f aca="false">IF(OR(F205="",G205=""),"",F205/G205)</f>
        <v/>
      </c>
      <c r="I203" s="29" t="str">
        <f aca="false">IF(B205="","",IFERROR(VLOOKUP(B205,Settings!$E$19:$F$23,2,FALSE()),0))</f>
        <v/>
      </c>
      <c r="J203" s="43" t="str">
        <f aca="false">IF(H205="","",IF(OR(B205="Deposit",B205="Cash In"),H205,-(H205/MAX(1-I205,0.0001))))</f>
        <v/>
      </c>
      <c r="K203" s="44" t="str">
        <f aca="false">IF(J205="","",IF(ISNUMBER(K204),K204,Settings!$C$4)+J205)</f>
        <v/>
      </c>
      <c r="L203" s="45"/>
    </row>
    <row r="204" customFormat="false" ht="18" hidden="false" customHeight="true" outlineLevel="0" collapsed="false">
      <c r="A204" s="32"/>
      <c r="B204" s="32"/>
      <c r="C204" s="41"/>
      <c r="D204" s="32"/>
      <c r="E204" s="33"/>
      <c r="F204" s="42"/>
      <c r="G204" s="27" t="str">
        <f aca="false">IF(E206="","",IFERROR(VLOOKUP(E206,Settings!$A$7:$B$17,2,FALSE()),1))</f>
        <v/>
      </c>
      <c r="H204" s="43" t="str">
        <f aca="false">IF(OR(F206="",G206=""),"",F206/G206)</f>
        <v/>
      </c>
      <c r="I204" s="29" t="str">
        <f aca="false">IF(B206="","",IFERROR(VLOOKUP(B206,Settings!$E$19:$F$23,2,FALSE()),0))</f>
        <v/>
      </c>
      <c r="J204" s="43" t="str">
        <f aca="false">IF(H206="","",IF(OR(B206="Deposit",B206="Cash In"),H206,-(H206/MAX(1-I206,0.0001))))</f>
        <v/>
      </c>
      <c r="K204" s="44" t="str">
        <f aca="false">IF(J206="","",IF(ISNUMBER(K205),K205,Settings!$C$4)+J206)</f>
        <v/>
      </c>
      <c r="L204" s="45"/>
    </row>
    <row r="205" customFormat="false" ht="18" hidden="false" customHeight="true" outlineLevel="0" collapsed="false">
      <c r="A205" s="32"/>
      <c r="B205" s="32"/>
      <c r="C205" s="41"/>
      <c r="D205" s="32"/>
      <c r="E205" s="33"/>
      <c r="F205" s="42"/>
      <c r="G205" s="27" t="str">
        <f aca="false">IF(E207="","",IFERROR(VLOOKUP(E207,Settings!$A$7:$B$17,2,FALSE()),1))</f>
        <v/>
      </c>
      <c r="H205" s="43" t="str">
        <f aca="false">IF(OR(F207="",G207=""),"",F207/G207)</f>
        <v/>
      </c>
      <c r="I205" s="29" t="str">
        <f aca="false">IF(B207="","",IFERROR(VLOOKUP(B207,Settings!$E$19:$F$23,2,FALSE()),0))</f>
        <v/>
      </c>
      <c r="J205" s="43" t="str">
        <f aca="false">IF(H207="","",IF(OR(B207="Deposit",B207="Cash In"),H207,-(H207/MAX(1-I207,0.0001))))</f>
        <v/>
      </c>
      <c r="K205" s="44" t="str">
        <f aca="false">IF(J207="","",IF(ISNUMBER(K206),K206,Settings!$C$4)+J207)</f>
        <v/>
      </c>
      <c r="L205" s="45"/>
    </row>
    <row r="206" customFormat="false" ht="18" hidden="false" customHeight="true" outlineLevel="0" collapsed="false">
      <c r="A206" s="32"/>
      <c r="B206" s="32"/>
      <c r="C206" s="41"/>
      <c r="D206" s="32"/>
      <c r="E206" s="33"/>
      <c r="F206" s="42"/>
      <c r="G206" s="27" t="str">
        <f aca="false">IF(E208="","",IFERROR(VLOOKUP(E208,Settings!$A$7:$B$17,2,FALSE()),1))</f>
        <v/>
      </c>
      <c r="H206" s="43" t="str">
        <f aca="false">IF(OR(F208="",G208=""),"",F208/G208)</f>
        <v/>
      </c>
      <c r="I206" s="29" t="str">
        <f aca="false">IF(B208="","",IFERROR(VLOOKUP(B208,Settings!$E$19:$F$23,2,FALSE()),0))</f>
        <v/>
      </c>
      <c r="J206" s="43" t="str">
        <f aca="false">IF(H208="","",IF(OR(B208="Deposit",B208="Cash In"),H208,-(H208/MAX(1-I208,0.0001))))</f>
        <v/>
      </c>
      <c r="K206" s="44" t="str">
        <f aca="false">IF(J208="","",IF(ISNUMBER(K207),K207,Settings!$C$4)+J208)</f>
        <v/>
      </c>
      <c r="L206" s="45"/>
    </row>
    <row r="207" customFormat="false" ht="18" hidden="false" customHeight="true" outlineLevel="0" collapsed="false">
      <c r="A207" s="32"/>
      <c r="B207" s="32"/>
      <c r="C207" s="41"/>
      <c r="D207" s="32"/>
      <c r="E207" s="33"/>
      <c r="F207" s="42"/>
      <c r="G207" s="27" t="str">
        <f aca="false">IF(E209="","",IFERROR(VLOOKUP(E209,Settings!$A$7:$B$17,2,FALSE()),1))</f>
        <v/>
      </c>
      <c r="H207" s="43" t="str">
        <f aca="false">IF(OR(F209="",G209=""),"",F209/G209)</f>
        <v/>
      </c>
      <c r="I207" s="29" t="str">
        <f aca="false">IF(B209="","",IFERROR(VLOOKUP(B209,Settings!$E$19:$F$23,2,FALSE()),0))</f>
        <v/>
      </c>
      <c r="J207" s="43" t="str">
        <f aca="false">IF(H209="","",IF(OR(B209="Deposit",B209="Cash In"),H209,-(H209/MAX(1-I209,0.0001))))</f>
        <v/>
      </c>
      <c r="K207" s="44" t="str">
        <f aca="false">IF(J209="","",IF(ISNUMBER(K208),K208,Settings!$C$4)+J209)</f>
        <v/>
      </c>
      <c r="L207" s="45"/>
    </row>
    <row r="208" customFormat="false" ht="18" hidden="false" customHeight="true" outlineLevel="0" collapsed="false">
      <c r="A208" s="32"/>
      <c r="B208" s="32"/>
      <c r="C208" s="41"/>
      <c r="D208" s="32"/>
      <c r="E208" s="33"/>
      <c r="F208" s="42"/>
      <c r="G208" s="27" t="str">
        <f aca="false">IF(E210="","",IFERROR(VLOOKUP(E210,Settings!$A$7:$B$17,2,FALSE()),1))</f>
        <v/>
      </c>
      <c r="H208" s="43" t="str">
        <f aca="false">IF(OR(F210="",G210=""),"",F210/G210)</f>
        <v/>
      </c>
      <c r="I208" s="29" t="str">
        <f aca="false">IF(B210="","",IFERROR(VLOOKUP(B210,Settings!$E$19:$F$23,2,FALSE()),0))</f>
        <v/>
      </c>
      <c r="J208" s="43" t="str">
        <f aca="false">IF(H210="","",IF(OR(B210="Deposit",B210="Cash In"),H210,-(H210/MAX(1-I210,0.0001))))</f>
        <v/>
      </c>
      <c r="K208" s="44" t="str">
        <f aca="false">IF(J210="","",IF(ISNUMBER(K209),K209,Settings!$C$4)+J210)</f>
        <v/>
      </c>
      <c r="L208" s="45"/>
    </row>
    <row r="209" customFormat="false" ht="18" hidden="false" customHeight="true" outlineLevel="0" collapsed="false">
      <c r="A209" s="32"/>
      <c r="B209" s="32"/>
      <c r="C209" s="41"/>
      <c r="D209" s="32"/>
      <c r="E209" s="33"/>
      <c r="F209" s="42"/>
      <c r="G209" s="27" t="str">
        <f aca="false">IF(E211="","",IFERROR(VLOOKUP(E211,Settings!$A$7:$B$17,2,FALSE()),1))</f>
        <v/>
      </c>
      <c r="H209" s="43" t="str">
        <f aca="false">IF(OR(F211="",G211=""),"",F211/G211)</f>
        <v/>
      </c>
      <c r="I209" s="29" t="str">
        <f aca="false">IF(B211="","",IFERROR(VLOOKUP(B211,Settings!$E$19:$F$23,2,FALSE()),0))</f>
        <v/>
      </c>
      <c r="J209" s="43" t="str">
        <f aca="false">IF(H211="","",IF(OR(B211="Deposit",B211="Cash In"),H211,-(H211/MAX(1-I211,0.0001))))</f>
        <v/>
      </c>
      <c r="K209" s="44" t="str">
        <f aca="false">IF(J211="","",IF(ISNUMBER(K210),K210,Settings!$C$4)+J211)</f>
        <v/>
      </c>
      <c r="L209" s="45"/>
    </row>
    <row r="210" customFormat="false" ht="18" hidden="false" customHeight="true" outlineLevel="0" collapsed="false">
      <c r="A210" s="32"/>
      <c r="B210" s="32"/>
      <c r="C210" s="41"/>
      <c r="D210" s="32"/>
      <c r="E210" s="33"/>
      <c r="F210" s="42"/>
      <c r="G210" s="27" t="str">
        <f aca="false">IF(E212="","",IFERROR(VLOOKUP(E212,Settings!$A$7:$B$17,2,FALSE()),1))</f>
        <v/>
      </c>
      <c r="H210" s="43" t="str">
        <f aca="false">IF(OR(F212="",G212=""),"",F212/G212)</f>
        <v/>
      </c>
      <c r="I210" s="29" t="str">
        <f aca="false">IF(B212="","",IFERROR(VLOOKUP(B212,Settings!$E$19:$F$23,2,FALSE()),0))</f>
        <v/>
      </c>
      <c r="J210" s="43" t="str">
        <f aca="false">IF(H212="","",IF(OR(B212="Deposit",B212="Cash In"),H212,-(H212/MAX(1-I212,0.0001))))</f>
        <v/>
      </c>
      <c r="K210" s="44" t="str">
        <f aca="false">IF(J212="","",IF(ISNUMBER(K211),K211,Settings!$C$4)+J212)</f>
        <v/>
      </c>
      <c r="L210" s="45"/>
    </row>
    <row r="211" customFormat="false" ht="18" hidden="false" customHeight="true" outlineLevel="0" collapsed="false">
      <c r="A211" s="32"/>
      <c r="B211" s="32"/>
      <c r="C211" s="41"/>
      <c r="D211" s="32"/>
      <c r="E211" s="33"/>
      <c r="F211" s="42"/>
      <c r="G211" s="27" t="str">
        <f aca="false">IF(E213="","",IFERROR(VLOOKUP(E213,Settings!$A$7:$B$17,2,FALSE()),1))</f>
        <v/>
      </c>
      <c r="H211" s="43" t="str">
        <f aca="false">IF(OR(F213="",G213=""),"",F213/G213)</f>
        <v/>
      </c>
      <c r="I211" s="29" t="str">
        <f aca="false">IF(B213="","",IFERROR(VLOOKUP(B213,Settings!$E$19:$F$23,2,FALSE()),0))</f>
        <v/>
      </c>
      <c r="J211" s="43" t="str">
        <f aca="false">IF(H213="","",IF(OR(B213="Deposit",B213="Cash In"),H213,-(H213/MAX(1-I213,0.0001))))</f>
        <v/>
      </c>
      <c r="K211" s="44" t="str">
        <f aca="false">IF(J213="","",IF(ISNUMBER(K212),K212,Settings!$C$4)+J213)</f>
        <v/>
      </c>
      <c r="L211" s="45"/>
    </row>
    <row r="212" customFormat="false" ht="18" hidden="false" customHeight="true" outlineLevel="0" collapsed="false">
      <c r="A212" s="32"/>
      <c r="B212" s="32"/>
      <c r="C212" s="41"/>
      <c r="D212" s="32"/>
      <c r="E212" s="33"/>
      <c r="F212" s="42"/>
      <c r="G212" s="27" t="str">
        <f aca="false">IF(E214="","",IFERROR(VLOOKUP(E214,Settings!$A$7:$B$17,2,FALSE()),1))</f>
        <v/>
      </c>
      <c r="H212" s="43" t="str">
        <f aca="false">IF(OR(F214="",G214=""),"",F214/G214)</f>
        <v/>
      </c>
      <c r="I212" s="29" t="str">
        <f aca="false">IF(B214="","",IFERROR(VLOOKUP(B214,Settings!$E$19:$F$23,2,FALSE()),0))</f>
        <v/>
      </c>
      <c r="J212" s="43" t="str">
        <f aca="false">IF(H214="","",IF(OR(B214="Deposit",B214="Cash In"),H214,-(H214/MAX(1-I214,0.0001))))</f>
        <v/>
      </c>
      <c r="K212" s="44" t="str">
        <f aca="false">IF(J214="","",IF(ISNUMBER(K213),K213,Settings!$C$4)+J214)</f>
        <v/>
      </c>
      <c r="L212" s="45"/>
    </row>
    <row r="213" customFormat="false" ht="18" hidden="false" customHeight="true" outlineLevel="0" collapsed="false">
      <c r="A213" s="32"/>
      <c r="B213" s="32"/>
      <c r="C213" s="41"/>
      <c r="D213" s="32"/>
      <c r="E213" s="33"/>
      <c r="F213" s="42"/>
      <c r="G213" s="27" t="str">
        <f aca="false">IF(E215="","",IFERROR(VLOOKUP(E215,Settings!$A$7:$B$17,2,FALSE()),1))</f>
        <v/>
      </c>
      <c r="H213" s="43" t="str">
        <f aca="false">IF(OR(F215="",G215=""),"",F215/G215)</f>
        <v/>
      </c>
      <c r="I213" s="29" t="str">
        <f aca="false">IF(B215="","",IFERROR(VLOOKUP(B215,Settings!$E$19:$F$23,2,FALSE()),0))</f>
        <v/>
      </c>
      <c r="J213" s="43" t="str">
        <f aca="false">IF(H215="","",IF(OR(B215="Deposit",B215="Cash In"),H215,-(H215/MAX(1-I215,0.0001))))</f>
        <v/>
      </c>
      <c r="K213" s="44" t="str">
        <f aca="false">IF(J215="","",IF(ISNUMBER(K214),K214,Settings!$C$4)+J215)</f>
        <v/>
      </c>
      <c r="L213" s="45"/>
    </row>
    <row r="214" customFormat="false" ht="18" hidden="false" customHeight="true" outlineLevel="0" collapsed="false">
      <c r="A214" s="32"/>
      <c r="B214" s="32"/>
      <c r="C214" s="41"/>
      <c r="D214" s="32"/>
      <c r="E214" s="33"/>
      <c r="F214" s="42"/>
      <c r="G214" s="27" t="str">
        <f aca="false">IF(E216="","",IFERROR(VLOOKUP(E216,Settings!$A$7:$B$17,2,FALSE()),1))</f>
        <v/>
      </c>
      <c r="H214" s="43" t="str">
        <f aca="false">IF(OR(F216="",G216=""),"",F216/G216)</f>
        <v/>
      </c>
      <c r="I214" s="29" t="str">
        <f aca="false">IF(B216="","",IFERROR(VLOOKUP(B216,Settings!$E$19:$F$23,2,FALSE()),0))</f>
        <v/>
      </c>
      <c r="J214" s="43" t="str">
        <f aca="false">IF(H216="","",IF(OR(B216="Deposit",B216="Cash In"),H216,-(H216/MAX(1-I216,0.0001))))</f>
        <v/>
      </c>
      <c r="K214" s="44" t="str">
        <f aca="false">IF(J216="","",IF(ISNUMBER(K215),K215,Settings!$C$4)+J216)</f>
        <v/>
      </c>
      <c r="L214" s="45"/>
    </row>
    <row r="215" customFormat="false" ht="18" hidden="false" customHeight="true" outlineLevel="0" collapsed="false">
      <c r="A215" s="32"/>
      <c r="B215" s="32"/>
      <c r="C215" s="41"/>
      <c r="D215" s="32"/>
      <c r="E215" s="33"/>
      <c r="F215" s="42"/>
      <c r="G215" s="27" t="str">
        <f aca="false">IF(E217="","",IFERROR(VLOOKUP(E217,Settings!$A$7:$B$17,2,FALSE()),1))</f>
        <v/>
      </c>
      <c r="H215" s="43" t="str">
        <f aca="false">IF(OR(F217="",G217=""),"",F217/G217)</f>
        <v/>
      </c>
      <c r="I215" s="29" t="str">
        <f aca="false">IF(B217="","",IFERROR(VLOOKUP(B217,Settings!$E$19:$F$23,2,FALSE()),0))</f>
        <v/>
      </c>
      <c r="J215" s="43" t="str">
        <f aca="false">IF(H217="","",IF(OR(B217="Deposit",B217="Cash In"),H217,-(H217/MAX(1-I217,0.0001))))</f>
        <v/>
      </c>
      <c r="K215" s="44" t="str">
        <f aca="false">IF(J217="","",IF(ISNUMBER(K216),K216,Settings!$C$4)+J217)</f>
        <v/>
      </c>
      <c r="L215" s="45"/>
    </row>
    <row r="216" customFormat="false" ht="18" hidden="false" customHeight="true" outlineLevel="0" collapsed="false">
      <c r="A216" s="32"/>
      <c r="B216" s="32"/>
      <c r="C216" s="41"/>
      <c r="D216" s="32"/>
      <c r="E216" s="33"/>
      <c r="F216" s="42"/>
      <c r="G216" s="27" t="str">
        <f aca="false">IF(E218="","",IFERROR(VLOOKUP(E218,Settings!$A$7:$B$17,2,FALSE()),1))</f>
        <v/>
      </c>
      <c r="H216" s="43" t="str">
        <f aca="false">IF(OR(F218="",G218=""),"",F218/G218)</f>
        <v/>
      </c>
      <c r="I216" s="29" t="str">
        <f aca="false">IF(B218="","",IFERROR(VLOOKUP(B218,Settings!$E$19:$F$23,2,FALSE()),0))</f>
        <v/>
      </c>
      <c r="J216" s="43" t="str">
        <f aca="false">IF(H218="","",IF(OR(B218="Deposit",B218="Cash In"),H218,-(H218/MAX(1-I218,0.0001))))</f>
        <v/>
      </c>
      <c r="K216" s="44" t="str">
        <f aca="false">IF(J218="","",IF(ISNUMBER(K217),K217,Settings!$C$4)+J218)</f>
        <v/>
      </c>
      <c r="L216" s="45"/>
    </row>
    <row r="217" customFormat="false" ht="18" hidden="false" customHeight="true" outlineLevel="0" collapsed="false">
      <c r="A217" s="32"/>
      <c r="B217" s="32"/>
      <c r="C217" s="41"/>
      <c r="D217" s="32"/>
      <c r="E217" s="33"/>
      <c r="F217" s="42"/>
      <c r="G217" s="27" t="str">
        <f aca="false">IF(E219="","",IFERROR(VLOOKUP(E219,Settings!$A$7:$B$17,2,FALSE()),1))</f>
        <v/>
      </c>
      <c r="H217" s="43" t="str">
        <f aca="false">IF(OR(F219="",G219=""),"",F219/G219)</f>
        <v/>
      </c>
      <c r="I217" s="29" t="str">
        <f aca="false">IF(B219="","",IFERROR(VLOOKUP(B219,Settings!$E$19:$F$23,2,FALSE()),0))</f>
        <v/>
      </c>
      <c r="J217" s="43" t="str">
        <f aca="false">IF(H219="","",IF(OR(B219="Deposit",B219="Cash In"),H219,-(H219/MAX(1-I219,0.0001))))</f>
        <v/>
      </c>
      <c r="K217" s="44" t="str">
        <f aca="false">IF(J219="","",IF(ISNUMBER(K218),K218,Settings!$C$4)+J219)</f>
        <v/>
      </c>
      <c r="L217" s="45"/>
    </row>
    <row r="218" customFormat="false" ht="18" hidden="false" customHeight="true" outlineLevel="0" collapsed="false">
      <c r="A218" s="32"/>
      <c r="B218" s="32"/>
      <c r="C218" s="41"/>
      <c r="D218" s="32"/>
      <c r="E218" s="33"/>
      <c r="F218" s="42"/>
      <c r="G218" s="27" t="str">
        <f aca="false">IF(E220="","",IFERROR(VLOOKUP(E220,Settings!$A$7:$B$17,2,FALSE()),1))</f>
        <v/>
      </c>
      <c r="H218" s="43" t="str">
        <f aca="false">IF(OR(F220="",G220=""),"",F220/G220)</f>
        <v/>
      </c>
      <c r="I218" s="29" t="str">
        <f aca="false">IF(B220="","",IFERROR(VLOOKUP(B220,Settings!$E$19:$F$23,2,FALSE()),0))</f>
        <v/>
      </c>
      <c r="J218" s="43" t="str">
        <f aca="false">IF(H220="","",IF(OR(B220="Deposit",B220="Cash In"),H220,-(H220/MAX(1-I220,0.0001))))</f>
        <v/>
      </c>
      <c r="K218" s="44" t="str">
        <f aca="false">IF(J220="","",IF(ISNUMBER(K219),K219,Settings!$C$4)+J220)</f>
        <v/>
      </c>
      <c r="L218" s="45"/>
    </row>
    <row r="219" customFormat="false" ht="18" hidden="false" customHeight="true" outlineLevel="0" collapsed="false">
      <c r="A219" s="32"/>
      <c r="B219" s="32"/>
      <c r="C219" s="41"/>
      <c r="D219" s="32"/>
      <c r="E219" s="33"/>
      <c r="F219" s="42"/>
      <c r="G219" s="27" t="str">
        <f aca="false">IF(E221="","",IFERROR(VLOOKUP(E221,Settings!$A$7:$B$17,2,FALSE()),1))</f>
        <v/>
      </c>
      <c r="H219" s="43" t="str">
        <f aca="false">IF(OR(F221="",G221=""),"",F221/G221)</f>
        <v/>
      </c>
      <c r="I219" s="29" t="str">
        <f aca="false">IF(B221="","",IFERROR(VLOOKUP(B221,Settings!$E$19:$F$23,2,FALSE()),0))</f>
        <v/>
      </c>
      <c r="J219" s="43" t="str">
        <f aca="false">IF(H221="","",IF(OR(B221="Deposit",B221="Cash In"),H221,-(H221/MAX(1-I221,0.0001))))</f>
        <v/>
      </c>
      <c r="K219" s="44" t="str">
        <f aca="false">IF(J221="","",IF(ISNUMBER(K220),K220,Settings!$C$4)+J221)</f>
        <v/>
      </c>
      <c r="L219" s="45"/>
    </row>
    <row r="220" customFormat="false" ht="18" hidden="false" customHeight="true" outlineLevel="0" collapsed="false">
      <c r="A220" s="32"/>
      <c r="B220" s="32"/>
      <c r="C220" s="41"/>
      <c r="D220" s="32"/>
      <c r="E220" s="33"/>
      <c r="F220" s="42"/>
      <c r="G220" s="27" t="str">
        <f aca="false">IF(E222="","",IFERROR(VLOOKUP(E222,Settings!$A$7:$B$17,2,FALSE()),1))</f>
        <v/>
      </c>
      <c r="H220" s="43" t="str">
        <f aca="false">IF(OR(F222="",G222=""),"",F222/G222)</f>
        <v/>
      </c>
      <c r="I220" s="29" t="str">
        <f aca="false">IF(B222="","",IFERROR(VLOOKUP(B222,Settings!$E$19:$F$23,2,FALSE()),0))</f>
        <v/>
      </c>
      <c r="J220" s="43" t="str">
        <f aca="false">IF(H222="","",IF(OR(B222="Deposit",B222="Cash In"),H222,-(H222/MAX(1-I222,0.0001))))</f>
        <v/>
      </c>
      <c r="K220" s="44" t="str">
        <f aca="false">IF(J222="","",IF(ISNUMBER(K221),K221,Settings!$C$4)+J222)</f>
        <v/>
      </c>
      <c r="L220" s="45"/>
    </row>
    <row r="221" customFormat="false" ht="18" hidden="false" customHeight="true" outlineLevel="0" collapsed="false">
      <c r="A221" s="32"/>
      <c r="B221" s="32"/>
      <c r="C221" s="41"/>
      <c r="D221" s="32"/>
      <c r="E221" s="33"/>
      <c r="F221" s="42"/>
      <c r="G221" s="27" t="str">
        <f aca="false">IF(E223="","",IFERROR(VLOOKUP(E223,Settings!$A$7:$B$17,2,FALSE()),1))</f>
        <v/>
      </c>
      <c r="H221" s="43" t="str">
        <f aca="false">IF(OR(F223="",G223=""),"",F223/G223)</f>
        <v/>
      </c>
      <c r="I221" s="29" t="str">
        <f aca="false">IF(B223="","",IFERROR(VLOOKUP(B223,Settings!$E$19:$F$23,2,FALSE()),0))</f>
        <v/>
      </c>
      <c r="J221" s="43" t="str">
        <f aca="false">IF(H223="","",IF(OR(B223="Deposit",B223="Cash In"),H223,-(H223/MAX(1-I223,0.0001))))</f>
        <v/>
      </c>
      <c r="K221" s="44" t="str">
        <f aca="false">IF(J223="","",IF(ISNUMBER(K222),K222,Settings!$C$4)+J223)</f>
        <v/>
      </c>
      <c r="L221" s="45"/>
    </row>
    <row r="222" customFormat="false" ht="18" hidden="false" customHeight="true" outlineLevel="0" collapsed="false">
      <c r="A222" s="32"/>
      <c r="B222" s="32"/>
      <c r="C222" s="41"/>
      <c r="D222" s="32"/>
      <c r="E222" s="33"/>
      <c r="F222" s="42"/>
      <c r="G222" s="27" t="str">
        <f aca="false">IF(E224="","",IFERROR(VLOOKUP(E224,Settings!$A$7:$B$17,2,FALSE()),1))</f>
        <v/>
      </c>
      <c r="H222" s="43" t="str">
        <f aca="false">IF(OR(F224="",G224=""),"",F224/G224)</f>
        <v/>
      </c>
      <c r="I222" s="29" t="str">
        <f aca="false">IF(B224="","",IFERROR(VLOOKUP(B224,Settings!$E$19:$F$23,2,FALSE()),0))</f>
        <v/>
      </c>
      <c r="J222" s="43" t="str">
        <f aca="false">IF(H224="","",IF(OR(B224="Deposit",B224="Cash In"),H224,-(H224/MAX(1-I224,0.0001))))</f>
        <v/>
      </c>
      <c r="K222" s="44" t="str">
        <f aca="false">IF(J224="","",IF(ISNUMBER(K223),K223,Settings!$C$4)+J224)</f>
        <v/>
      </c>
      <c r="L222" s="45"/>
    </row>
    <row r="223" customFormat="false" ht="18" hidden="false" customHeight="true" outlineLevel="0" collapsed="false">
      <c r="A223" s="32"/>
      <c r="B223" s="32"/>
      <c r="C223" s="41"/>
      <c r="D223" s="32"/>
      <c r="E223" s="33"/>
      <c r="F223" s="42"/>
      <c r="G223" s="27" t="str">
        <f aca="false">IF(E225="","",IFERROR(VLOOKUP(E225,Settings!$A$7:$B$17,2,FALSE()),1))</f>
        <v/>
      </c>
      <c r="H223" s="43" t="str">
        <f aca="false">IF(OR(F225="",G225=""),"",F225/G225)</f>
        <v/>
      </c>
      <c r="I223" s="29" t="str">
        <f aca="false">IF(B225="","",IFERROR(VLOOKUP(B225,Settings!$E$19:$F$23,2,FALSE()),0))</f>
        <v/>
      </c>
      <c r="J223" s="43" t="str">
        <f aca="false">IF(H225="","",IF(OR(B225="Deposit",B225="Cash In"),H225,-(H225/MAX(1-I225,0.0001))))</f>
        <v/>
      </c>
      <c r="K223" s="44" t="str">
        <f aca="false">IF(J225="","",IF(ISNUMBER(K224),K224,Settings!$C$4)+J225)</f>
        <v/>
      </c>
      <c r="L223" s="45"/>
    </row>
    <row r="224" customFormat="false" ht="18" hidden="false" customHeight="true" outlineLevel="0" collapsed="false">
      <c r="A224" s="32"/>
      <c r="B224" s="32"/>
      <c r="C224" s="41"/>
      <c r="D224" s="32"/>
      <c r="E224" s="33"/>
      <c r="F224" s="42"/>
      <c r="G224" s="27" t="str">
        <f aca="false">IF(E226="","",IFERROR(VLOOKUP(E226,Settings!$A$7:$B$17,2,FALSE()),1))</f>
        <v/>
      </c>
      <c r="H224" s="43" t="str">
        <f aca="false">IF(OR(F226="",G226=""),"",F226/G226)</f>
        <v/>
      </c>
      <c r="I224" s="29" t="str">
        <f aca="false">IF(B226="","",IFERROR(VLOOKUP(B226,Settings!$E$19:$F$23,2,FALSE()),0))</f>
        <v/>
      </c>
      <c r="J224" s="43" t="str">
        <f aca="false">IF(H226="","",IF(OR(B226="Deposit",B226="Cash In"),H226,-(H226/MAX(1-I226,0.0001))))</f>
        <v/>
      </c>
      <c r="K224" s="44" t="str">
        <f aca="false">IF(J226="","",IF(ISNUMBER(K225),K225,Settings!$C$4)+J226)</f>
        <v/>
      </c>
      <c r="L224" s="45"/>
    </row>
    <row r="225" customFormat="false" ht="18" hidden="false" customHeight="true" outlineLevel="0" collapsed="false">
      <c r="A225" s="32"/>
      <c r="B225" s="32"/>
      <c r="C225" s="41"/>
      <c r="D225" s="32"/>
      <c r="E225" s="33"/>
      <c r="F225" s="42"/>
      <c r="G225" s="27" t="str">
        <f aca="false">IF(E227="","",IFERROR(VLOOKUP(E227,Settings!$A$7:$B$17,2,FALSE()),1))</f>
        <v/>
      </c>
      <c r="H225" s="43" t="str">
        <f aca="false">IF(OR(F227="",G227=""),"",F227/G227)</f>
        <v/>
      </c>
      <c r="I225" s="29" t="str">
        <f aca="false">IF(B227="","",IFERROR(VLOOKUP(B227,Settings!$E$19:$F$23,2,FALSE()),0))</f>
        <v/>
      </c>
      <c r="J225" s="43" t="str">
        <f aca="false">IF(H227="","",IF(OR(B227="Deposit",B227="Cash In"),H227,-(H227/MAX(1-I227,0.0001))))</f>
        <v/>
      </c>
      <c r="K225" s="44" t="str">
        <f aca="false">IF(J227="","",IF(ISNUMBER(K226),K226,Settings!$C$4)+J227)</f>
        <v/>
      </c>
      <c r="L225" s="45"/>
    </row>
    <row r="226" customFormat="false" ht="18" hidden="false" customHeight="true" outlineLevel="0" collapsed="false">
      <c r="A226" s="32"/>
      <c r="B226" s="32"/>
      <c r="C226" s="41"/>
      <c r="D226" s="32"/>
      <c r="E226" s="33"/>
      <c r="F226" s="42"/>
      <c r="G226" s="27" t="str">
        <f aca="false">IF(E228="","",IFERROR(VLOOKUP(E228,Settings!$A$7:$B$17,2,FALSE()),1))</f>
        <v/>
      </c>
      <c r="H226" s="43" t="str">
        <f aca="false">IF(OR(F228="",G228=""),"",F228/G228)</f>
        <v/>
      </c>
      <c r="I226" s="29" t="str">
        <f aca="false">IF(B228="","",IFERROR(VLOOKUP(B228,Settings!$E$19:$F$23,2,FALSE()),0))</f>
        <v/>
      </c>
      <c r="J226" s="43" t="str">
        <f aca="false">IF(H228="","",IF(OR(B228="Deposit",B228="Cash In"),H228,-(H228/MAX(1-I228,0.0001))))</f>
        <v/>
      </c>
      <c r="K226" s="44" t="str">
        <f aca="false">IF(J228="","",IF(ISNUMBER(K227),K227,Settings!$C$4)+J228)</f>
        <v/>
      </c>
      <c r="L226" s="45"/>
    </row>
    <row r="227" customFormat="false" ht="18" hidden="false" customHeight="true" outlineLevel="0" collapsed="false">
      <c r="A227" s="32"/>
      <c r="B227" s="32"/>
      <c r="C227" s="41"/>
      <c r="D227" s="32"/>
      <c r="E227" s="33"/>
      <c r="F227" s="42"/>
      <c r="G227" s="27" t="str">
        <f aca="false">IF(E229="","",IFERROR(VLOOKUP(E229,Settings!$A$7:$B$17,2,FALSE()),1))</f>
        <v/>
      </c>
      <c r="H227" s="43" t="str">
        <f aca="false">IF(OR(F229="",G229=""),"",F229/G229)</f>
        <v/>
      </c>
      <c r="I227" s="29" t="str">
        <f aca="false">IF(B229="","",IFERROR(VLOOKUP(B229,Settings!$E$19:$F$23,2,FALSE()),0))</f>
        <v/>
      </c>
      <c r="J227" s="43" t="str">
        <f aca="false">IF(H229="","",IF(OR(B229="Deposit",B229="Cash In"),H229,-(H229/MAX(1-I229,0.0001))))</f>
        <v/>
      </c>
      <c r="K227" s="44" t="str">
        <f aca="false">IF(J229="","",IF(ISNUMBER(K228),K228,Settings!$C$4)+J229)</f>
        <v/>
      </c>
      <c r="L227" s="45"/>
    </row>
    <row r="228" customFormat="false" ht="18" hidden="false" customHeight="true" outlineLevel="0" collapsed="false">
      <c r="A228" s="32"/>
      <c r="B228" s="32"/>
      <c r="C228" s="41"/>
      <c r="D228" s="32"/>
      <c r="E228" s="33"/>
      <c r="F228" s="42"/>
      <c r="G228" s="27" t="str">
        <f aca="false">IF(E230="","",IFERROR(VLOOKUP(E230,Settings!$A$7:$B$17,2,FALSE()),1))</f>
        <v/>
      </c>
      <c r="H228" s="43" t="str">
        <f aca="false">IF(OR(F230="",G230=""),"",F230/G230)</f>
        <v/>
      </c>
      <c r="I228" s="29" t="str">
        <f aca="false">IF(B230="","",IFERROR(VLOOKUP(B230,Settings!$E$19:$F$23,2,FALSE()),0))</f>
        <v/>
      </c>
      <c r="J228" s="43" t="str">
        <f aca="false">IF(H230="","",IF(OR(B230="Deposit",B230="Cash In"),H230,-(H230/MAX(1-I230,0.0001))))</f>
        <v/>
      </c>
      <c r="K228" s="44" t="str">
        <f aca="false">IF(J230="","",IF(ISNUMBER(K229),K229,Settings!$C$4)+J230)</f>
        <v/>
      </c>
      <c r="L228" s="45"/>
    </row>
    <row r="229" customFormat="false" ht="18" hidden="false" customHeight="true" outlineLevel="0" collapsed="false">
      <c r="A229" s="32"/>
      <c r="B229" s="32"/>
      <c r="C229" s="41"/>
      <c r="D229" s="32"/>
      <c r="E229" s="33"/>
      <c r="F229" s="42"/>
      <c r="G229" s="27" t="str">
        <f aca="false">IF(E231="","",IFERROR(VLOOKUP(E231,Settings!$A$7:$B$17,2,FALSE()),1))</f>
        <v/>
      </c>
      <c r="H229" s="43" t="str">
        <f aca="false">IF(OR(F231="",G231=""),"",F231/G231)</f>
        <v/>
      </c>
      <c r="I229" s="29" t="str">
        <f aca="false">IF(B231="","",IFERROR(VLOOKUP(B231,Settings!$E$19:$F$23,2,FALSE()),0))</f>
        <v/>
      </c>
      <c r="J229" s="43" t="str">
        <f aca="false">IF(H231="","",IF(OR(B231="Deposit",B231="Cash In"),H231,-(H231/MAX(1-I231,0.0001))))</f>
        <v/>
      </c>
      <c r="K229" s="44" t="str">
        <f aca="false">IF(J231="","",IF(ISNUMBER(K230),K230,Settings!$C$4)+J231)</f>
        <v/>
      </c>
      <c r="L229" s="45"/>
    </row>
    <row r="230" customFormat="false" ht="18" hidden="false" customHeight="true" outlineLevel="0" collapsed="false">
      <c r="A230" s="32"/>
      <c r="B230" s="32"/>
      <c r="C230" s="41"/>
      <c r="D230" s="32"/>
      <c r="E230" s="33"/>
      <c r="F230" s="42"/>
      <c r="G230" s="27" t="str">
        <f aca="false">IF(E232="","",IFERROR(VLOOKUP(E232,Settings!$A$7:$B$17,2,FALSE()),1))</f>
        <v/>
      </c>
      <c r="H230" s="43" t="str">
        <f aca="false">IF(OR(F232="",G232=""),"",F232/G232)</f>
        <v/>
      </c>
      <c r="I230" s="29" t="str">
        <f aca="false">IF(B232="","",IFERROR(VLOOKUP(B232,Settings!$E$19:$F$23,2,FALSE()),0))</f>
        <v/>
      </c>
      <c r="J230" s="43" t="str">
        <f aca="false">IF(H232="","",IF(OR(B232="Deposit",B232="Cash In"),H232,-(H232/MAX(1-I232,0.0001))))</f>
        <v/>
      </c>
      <c r="K230" s="44" t="str">
        <f aca="false">IF(J232="","",IF(ISNUMBER(K231),K231,Settings!$C$4)+J232)</f>
        <v/>
      </c>
      <c r="L230" s="45"/>
    </row>
    <row r="231" customFormat="false" ht="18" hidden="false" customHeight="true" outlineLevel="0" collapsed="false">
      <c r="A231" s="32"/>
      <c r="B231" s="32"/>
      <c r="C231" s="41"/>
      <c r="D231" s="32"/>
      <c r="E231" s="33"/>
      <c r="F231" s="42"/>
      <c r="G231" s="27" t="str">
        <f aca="false">IF(E233="","",IFERROR(VLOOKUP(E233,Settings!$A$7:$B$17,2,FALSE()),1))</f>
        <v/>
      </c>
      <c r="H231" s="43" t="str">
        <f aca="false">IF(OR(F233="",G233=""),"",F233/G233)</f>
        <v/>
      </c>
      <c r="I231" s="29" t="str">
        <f aca="false">IF(B233="","",IFERROR(VLOOKUP(B233,Settings!$E$19:$F$23,2,FALSE()),0))</f>
        <v/>
      </c>
      <c r="J231" s="43" t="str">
        <f aca="false">IF(H233="","",IF(OR(B233="Deposit",B233="Cash In"),H233,-(H233/MAX(1-I233,0.0001))))</f>
        <v/>
      </c>
      <c r="K231" s="44" t="str">
        <f aca="false">IF(J233="","",IF(ISNUMBER(K232),K232,Settings!$C$4)+J233)</f>
        <v/>
      </c>
      <c r="L231" s="45"/>
    </row>
    <row r="232" customFormat="false" ht="18" hidden="false" customHeight="true" outlineLevel="0" collapsed="false">
      <c r="A232" s="32"/>
      <c r="B232" s="32"/>
      <c r="C232" s="41"/>
      <c r="D232" s="32"/>
      <c r="E232" s="33"/>
      <c r="F232" s="42"/>
      <c r="G232" s="27" t="str">
        <f aca="false">IF(E234="","",IFERROR(VLOOKUP(E234,Settings!$A$7:$B$17,2,FALSE()),1))</f>
        <v/>
      </c>
      <c r="H232" s="43" t="str">
        <f aca="false">IF(OR(F234="",G234=""),"",F234/G234)</f>
        <v/>
      </c>
      <c r="I232" s="29" t="str">
        <f aca="false">IF(B234="","",IFERROR(VLOOKUP(B234,Settings!$E$19:$F$23,2,FALSE()),0))</f>
        <v/>
      </c>
      <c r="J232" s="43" t="str">
        <f aca="false">IF(H234="","",IF(OR(B234="Deposit",B234="Cash In"),H234,-(H234/MAX(1-I234,0.0001))))</f>
        <v/>
      </c>
      <c r="K232" s="44" t="str">
        <f aca="false">IF(J234="","",IF(ISNUMBER(K233),K233,Settings!$C$4)+J234)</f>
        <v/>
      </c>
      <c r="L232" s="45"/>
    </row>
    <row r="233" customFormat="false" ht="18" hidden="false" customHeight="true" outlineLevel="0" collapsed="false">
      <c r="A233" s="32"/>
      <c r="B233" s="32"/>
      <c r="C233" s="41"/>
      <c r="D233" s="32"/>
      <c r="E233" s="33"/>
      <c r="F233" s="42"/>
      <c r="G233" s="27" t="str">
        <f aca="false">IF(E235="","",IFERROR(VLOOKUP(E235,Settings!$A$7:$B$17,2,FALSE()),1))</f>
        <v/>
      </c>
      <c r="H233" s="43" t="str">
        <f aca="false">IF(OR(F235="",G235=""),"",F235/G235)</f>
        <v/>
      </c>
      <c r="I233" s="29" t="str">
        <f aca="false">IF(B235="","",IFERROR(VLOOKUP(B235,Settings!$E$19:$F$23,2,FALSE()),0))</f>
        <v/>
      </c>
      <c r="J233" s="43" t="str">
        <f aca="false">IF(H235="","",IF(OR(B235="Deposit",B235="Cash In"),H235,-(H235/MAX(1-I235,0.0001))))</f>
        <v/>
      </c>
      <c r="K233" s="44" t="str">
        <f aca="false">IF(J235="","",IF(ISNUMBER(K234),K234,Settings!$C$4)+J235)</f>
        <v/>
      </c>
      <c r="L233" s="45"/>
    </row>
    <row r="234" customFormat="false" ht="18" hidden="false" customHeight="true" outlineLevel="0" collapsed="false">
      <c r="A234" s="32"/>
      <c r="B234" s="32"/>
      <c r="C234" s="41"/>
      <c r="D234" s="32"/>
      <c r="E234" s="33"/>
      <c r="F234" s="42"/>
      <c r="G234" s="27" t="str">
        <f aca="false">IF(E236="","",IFERROR(VLOOKUP(E236,Settings!$A$7:$B$17,2,FALSE()),1))</f>
        <v/>
      </c>
      <c r="H234" s="43" t="str">
        <f aca="false">IF(OR(F236="",G236=""),"",F236/G236)</f>
        <v/>
      </c>
      <c r="I234" s="29" t="str">
        <f aca="false">IF(B236="","",IFERROR(VLOOKUP(B236,Settings!$E$19:$F$23,2,FALSE()),0))</f>
        <v/>
      </c>
      <c r="J234" s="43" t="str">
        <f aca="false">IF(H236="","",IF(OR(B236="Deposit",B236="Cash In"),H236,-(H236/MAX(1-I236,0.0001))))</f>
        <v/>
      </c>
      <c r="K234" s="44" t="str">
        <f aca="false">IF(J236="","",IF(ISNUMBER(K235),K235,Settings!$C$4)+J236)</f>
        <v/>
      </c>
      <c r="L234" s="45"/>
    </row>
    <row r="235" customFormat="false" ht="18" hidden="false" customHeight="true" outlineLevel="0" collapsed="false">
      <c r="A235" s="32"/>
      <c r="B235" s="32"/>
      <c r="C235" s="41"/>
      <c r="D235" s="32"/>
      <c r="E235" s="33"/>
      <c r="F235" s="42"/>
      <c r="G235" s="27" t="str">
        <f aca="false">IF(E237="","",IFERROR(VLOOKUP(E237,Settings!$A$7:$B$17,2,FALSE()),1))</f>
        <v/>
      </c>
      <c r="H235" s="43" t="str">
        <f aca="false">IF(OR(F237="",G237=""),"",F237/G237)</f>
        <v/>
      </c>
      <c r="I235" s="29" t="str">
        <f aca="false">IF(B237="","",IFERROR(VLOOKUP(B237,Settings!$E$19:$F$23,2,FALSE()),0))</f>
        <v/>
      </c>
      <c r="J235" s="43" t="str">
        <f aca="false">IF(H237="","",IF(OR(B237="Deposit",B237="Cash In"),H237,-(H237/MAX(1-I237,0.0001))))</f>
        <v/>
      </c>
      <c r="K235" s="44" t="str">
        <f aca="false">IF(J237="","",IF(ISNUMBER(K236),K236,Settings!$C$4)+J237)</f>
        <v/>
      </c>
      <c r="L235" s="45"/>
    </row>
    <row r="236" customFormat="false" ht="18" hidden="false" customHeight="true" outlineLevel="0" collapsed="false">
      <c r="A236" s="32"/>
      <c r="B236" s="32"/>
      <c r="C236" s="41"/>
      <c r="D236" s="32"/>
      <c r="E236" s="33"/>
      <c r="F236" s="42"/>
      <c r="G236" s="27" t="str">
        <f aca="false">IF(E238="","",IFERROR(VLOOKUP(E238,Settings!$A$7:$B$17,2,FALSE()),1))</f>
        <v/>
      </c>
      <c r="H236" s="43" t="str">
        <f aca="false">IF(OR(F238="",G238=""),"",F238/G238)</f>
        <v/>
      </c>
      <c r="I236" s="29" t="str">
        <f aca="false">IF(B238="","",IFERROR(VLOOKUP(B238,Settings!$E$19:$F$23,2,FALSE()),0))</f>
        <v/>
      </c>
      <c r="J236" s="43" t="str">
        <f aca="false">IF(H238="","",IF(OR(B238="Deposit",B238="Cash In"),H238,-(H238/MAX(1-I238,0.0001))))</f>
        <v/>
      </c>
      <c r="K236" s="44" t="str">
        <f aca="false">IF(J238="","",IF(ISNUMBER(K237),K237,Settings!$C$4)+J238)</f>
        <v/>
      </c>
      <c r="L236" s="45"/>
    </row>
    <row r="237" customFormat="false" ht="18" hidden="false" customHeight="true" outlineLevel="0" collapsed="false">
      <c r="A237" s="32"/>
      <c r="B237" s="32"/>
      <c r="C237" s="41"/>
      <c r="D237" s="32"/>
      <c r="E237" s="33"/>
      <c r="F237" s="42"/>
      <c r="G237" s="27" t="str">
        <f aca="false">IF(E239="","",IFERROR(VLOOKUP(E239,Settings!$A$7:$B$17,2,FALSE()),1))</f>
        <v/>
      </c>
      <c r="H237" s="43" t="str">
        <f aca="false">IF(OR(F239="",G239=""),"",F239/G239)</f>
        <v/>
      </c>
      <c r="I237" s="29" t="str">
        <f aca="false">IF(B239="","",IFERROR(VLOOKUP(B239,Settings!$E$19:$F$23,2,FALSE()),0))</f>
        <v/>
      </c>
      <c r="J237" s="43" t="str">
        <f aca="false">IF(H239="","",IF(OR(B239="Deposit",B239="Cash In"),H239,-(H239/MAX(1-I239,0.0001))))</f>
        <v/>
      </c>
      <c r="K237" s="44" t="str">
        <f aca="false">IF(J239="","",IF(ISNUMBER(K238),K238,Settings!$C$4)+J239)</f>
        <v/>
      </c>
      <c r="L237" s="45"/>
    </row>
    <row r="238" customFormat="false" ht="18" hidden="false" customHeight="true" outlineLevel="0" collapsed="false">
      <c r="A238" s="32"/>
      <c r="B238" s="32"/>
      <c r="C238" s="41"/>
      <c r="D238" s="32"/>
      <c r="E238" s="33"/>
      <c r="F238" s="42"/>
      <c r="G238" s="27" t="str">
        <f aca="false">IF(E240="","",IFERROR(VLOOKUP(E240,Settings!$A$7:$B$17,2,FALSE()),1))</f>
        <v/>
      </c>
      <c r="H238" s="43" t="str">
        <f aca="false">IF(OR(F240="",G240=""),"",F240/G240)</f>
        <v/>
      </c>
      <c r="I238" s="29" t="str">
        <f aca="false">IF(B240="","",IFERROR(VLOOKUP(B240,Settings!$E$19:$F$23,2,FALSE()),0))</f>
        <v/>
      </c>
      <c r="J238" s="43" t="str">
        <f aca="false">IF(H240="","",IF(OR(B240="Deposit",B240="Cash In"),H240,-(H240/MAX(1-I240,0.0001))))</f>
        <v/>
      </c>
      <c r="K238" s="44" t="str">
        <f aca="false">IF(J240="","",IF(ISNUMBER(K239),K239,Settings!$C$4)+J240)</f>
        <v/>
      </c>
      <c r="L238" s="45"/>
    </row>
    <row r="239" customFormat="false" ht="18" hidden="false" customHeight="true" outlineLevel="0" collapsed="false">
      <c r="A239" s="32"/>
      <c r="B239" s="32"/>
      <c r="C239" s="41"/>
      <c r="D239" s="32"/>
      <c r="E239" s="33"/>
      <c r="F239" s="42"/>
      <c r="G239" s="27" t="str">
        <f aca="false">IF(E241="","",IFERROR(VLOOKUP(E241,Settings!$A$7:$B$17,2,FALSE()),1))</f>
        <v/>
      </c>
      <c r="H239" s="43" t="str">
        <f aca="false">IF(OR(F241="",G241=""),"",F241/G241)</f>
        <v/>
      </c>
      <c r="I239" s="29" t="str">
        <f aca="false">IF(B241="","",IFERROR(VLOOKUP(B241,Settings!$E$19:$F$23,2,FALSE()),0))</f>
        <v/>
      </c>
      <c r="J239" s="43" t="str">
        <f aca="false">IF(H241="","",IF(OR(B241="Deposit",B241="Cash In"),H241,-(H241/MAX(1-I241,0.0001))))</f>
        <v/>
      </c>
      <c r="K239" s="44" t="str">
        <f aca="false">IF(J241="","",IF(ISNUMBER(K240),K240,Settings!$C$4)+J241)</f>
        <v/>
      </c>
      <c r="L239" s="45"/>
    </row>
    <row r="240" customFormat="false" ht="18" hidden="false" customHeight="true" outlineLevel="0" collapsed="false">
      <c r="A240" s="32"/>
      <c r="B240" s="32"/>
      <c r="C240" s="41"/>
      <c r="D240" s="32"/>
      <c r="E240" s="33"/>
      <c r="F240" s="42"/>
      <c r="G240" s="27" t="str">
        <f aca="false">IF(E242="","",IFERROR(VLOOKUP(E242,Settings!$A$7:$B$17,2,FALSE()),1))</f>
        <v/>
      </c>
      <c r="H240" s="43" t="str">
        <f aca="false">IF(OR(F242="",G242=""),"",F242/G242)</f>
        <v/>
      </c>
      <c r="I240" s="29" t="str">
        <f aca="false">IF(B242="","",IFERROR(VLOOKUP(B242,Settings!$E$19:$F$23,2,FALSE()),0))</f>
        <v/>
      </c>
      <c r="J240" s="43" t="str">
        <f aca="false">IF(H242="","",IF(OR(B242="Deposit",B242="Cash In"),H242,-(H242/MAX(1-I242,0.0001))))</f>
        <v/>
      </c>
      <c r="K240" s="44" t="str">
        <f aca="false">IF(J242="","",IF(ISNUMBER(K241),K241,Settings!$C$4)+J242)</f>
        <v/>
      </c>
      <c r="L240" s="45"/>
    </row>
    <row r="241" customFormat="false" ht="18" hidden="false" customHeight="true" outlineLevel="0" collapsed="false">
      <c r="A241" s="32"/>
      <c r="B241" s="32"/>
      <c r="C241" s="41"/>
      <c r="D241" s="32"/>
      <c r="E241" s="33"/>
      <c r="F241" s="42"/>
      <c r="G241" s="27" t="str">
        <f aca="false">IF(E243="","",IFERROR(VLOOKUP(E243,Settings!$A$7:$B$17,2,FALSE()),1))</f>
        <v/>
      </c>
      <c r="H241" s="43" t="str">
        <f aca="false">IF(OR(F243="",G243=""),"",F243/G243)</f>
        <v/>
      </c>
      <c r="I241" s="29" t="str">
        <f aca="false">IF(B243="","",IFERROR(VLOOKUP(B243,Settings!$E$19:$F$23,2,FALSE()),0))</f>
        <v/>
      </c>
      <c r="J241" s="43" t="str">
        <f aca="false">IF(H243="","",IF(OR(B243="Deposit",B243="Cash In"),H243,-(H243/MAX(1-I243,0.0001))))</f>
        <v/>
      </c>
      <c r="K241" s="44" t="str">
        <f aca="false">IF(J243="","",IF(ISNUMBER(K242),K242,Settings!$C$4)+J243)</f>
        <v/>
      </c>
      <c r="L241" s="45"/>
    </row>
    <row r="242" customFormat="false" ht="18" hidden="false" customHeight="true" outlineLevel="0" collapsed="false">
      <c r="A242" s="32"/>
      <c r="B242" s="32"/>
      <c r="C242" s="41"/>
      <c r="D242" s="32"/>
      <c r="E242" s="33"/>
      <c r="F242" s="42"/>
      <c r="G242" s="27" t="str">
        <f aca="false">IF(E244="","",IFERROR(VLOOKUP(E244,Settings!$A$7:$B$17,2,FALSE()),1))</f>
        <v/>
      </c>
      <c r="H242" s="43" t="str">
        <f aca="false">IF(OR(F244="",G244=""),"",F244/G244)</f>
        <v/>
      </c>
      <c r="I242" s="29" t="str">
        <f aca="false">IF(B244="","",IFERROR(VLOOKUP(B244,Settings!$E$19:$F$23,2,FALSE()),0))</f>
        <v/>
      </c>
      <c r="J242" s="43" t="str">
        <f aca="false">IF(H244="","",IF(OR(B244="Deposit",B244="Cash In"),H244,-(H244/MAX(1-I244,0.0001))))</f>
        <v/>
      </c>
      <c r="K242" s="44" t="str">
        <f aca="false">IF(J244="","",IF(ISNUMBER(K243),K243,Settings!$C$4)+J244)</f>
        <v/>
      </c>
      <c r="L242" s="45"/>
    </row>
    <row r="243" customFormat="false" ht="18" hidden="false" customHeight="true" outlineLevel="0" collapsed="false">
      <c r="A243" s="32"/>
      <c r="B243" s="32"/>
      <c r="C243" s="41"/>
      <c r="D243" s="32"/>
      <c r="E243" s="33"/>
      <c r="F243" s="42"/>
      <c r="G243" s="27" t="str">
        <f aca="false">IF(E245="","",IFERROR(VLOOKUP(E245,Settings!$A$7:$B$17,2,FALSE()),1))</f>
        <v/>
      </c>
      <c r="H243" s="43" t="str">
        <f aca="false">IF(OR(F245="",G245=""),"",F245/G245)</f>
        <v/>
      </c>
      <c r="I243" s="29" t="str">
        <f aca="false">IF(B245="","",IFERROR(VLOOKUP(B245,Settings!$E$19:$F$23,2,FALSE()),0))</f>
        <v/>
      </c>
      <c r="J243" s="43" t="str">
        <f aca="false">IF(H245="","",IF(OR(B245="Deposit",B245="Cash In"),H245,-(H245/MAX(1-I245,0.0001))))</f>
        <v/>
      </c>
      <c r="K243" s="44" t="str">
        <f aca="false">IF(J245="","",IF(ISNUMBER(K244),K244,Settings!$C$4)+J245)</f>
        <v/>
      </c>
      <c r="L243" s="45"/>
    </row>
    <row r="244" customFormat="false" ht="18" hidden="false" customHeight="true" outlineLevel="0" collapsed="false">
      <c r="A244" s="32"/>
      <c r="B244" s="32"/>
      <c r="C244" s="41"/>
      <c r="D244" s="32"/>
      <c r="E244" s="33"/>
      <c r="F244" s="42"/>
      <c r="G244" s="27" t="str">
        <f aca="false">IF(E246="","",IFERROR(VLOOKUP(E246,Settings!$A$7:$B$17,2,FALSE()),1))</f>
        <v/>
      </c>
      <c r="H244" s="43" t="str">
        <f aca="false">IF(OR(F246="",G246=""),"",F246/G246)</f>
        <v/>
      </c>
      <c r="I244" s="29" t="str">
        <f aca="false">IF(B246="","",IFERROR(VLOOKUP(B246,Settings!$E$19:$F$23,2,FALSE()),0))</f>
        <v/>
      </c>
      <c r="J244" s="43" t="str">
        <f aca="false">IF(H246="","",IF(OR(B246="Deposit",B246="Cash In"),H246,-(H246/MAX(1-I246,0.0001))))</f>
        <v/>
      </c>
      <c r="K244" s="44" t="str">
        <f aca="false">IF(J246="","",IF(ISNUMBER(K245),K245,Settings!$C$4)+J246)</f>
        <v/>
      </c>
      <c r="L244" s="45"/>
    </row>
    <row r="245" customFormat="false" ht="18" hidden="false" customHeight="true" outlineLevel="0" collapsed="false">
      <c r="A245" s="32"/>
      <c r="B245" s="32"/>
      <c r="C245" s="41"/>
      <c r="D245" s="32"/>
      <c r="E245" s="33"/>
      <c r="F245" s="42"/>
      <c r="G245" s="27" t="str">
        <f aca="false">IF(E247="","",IFERROR(VLOOKUP(E247,Settings!$A$7:$B$17,2,FALSE()),1))</f>
        <v/>
      </c>
      <c r="H245" s="43" t="str">
        <f aca="false">IF(OR(F247="",G247=""),"",F247/G247)</f>
        <v/>
      </c>
      <c r="I245" s="29" t="str">
        <f aca="false">IF(B247="","",IFERROR(VLOOKUP(B247,Settings!$E$19:$F$23,2,FALSE()),0))</f>
        <v/>
      </c>
      <c r="J245" s="43" t="str">
        <f aca="false">IF(H247="","",IF(OR(B247="Deposit",B247="Cash In"),H247,-(H247/MAX(1-I247,0.0001))))</f>
        <v/>
      </c>
      <c r="K245" s="44" t="str">
        <f aca="false">IF(J247="","",IF(ISNUMBER(K246),K246,Settings!$C$4)+J247)</f>
        <v/>
      </c>
      <c r="L245" s="45"/>
    </row>
    <row r="246" customFormat="false" ht="18" hidden="false" customHeight="true" outlineLevel="0" collapsed="false">
      <c r="A246" s="32"/>
      <c r="B246" s="32"/>
      <c r="C246" s="41"/>
      <c r="D246" s="32"/>
      <c r="E246" s="33"/>
      <c r="F246" s="42"/>
      <c r="G246" s="27" t="str">
        <f aca="false">IF(E248="","",IFERROR(VLOOKUP(E248,Settings!$A$7:$B$17,2,FALSE()),1))</f>
        <v/>
      </c>
      <c r="H246" s="43" t="str">
        <f aca="false">IF(OR(F248="",G248=""),"",F248/G248)</f>
        <v/>
      </c>
      <c r="I246" s="29" t="str">
        <f aca="false">IF(B248="","",IFERROR(VLOOKUP(B248,Settings!$E$19:$F$23,2,FALSE()),0))</f>
        <v/>
      </c>
      <c r="J246" s="43" t="str">
        <f aca="false">IF(H248="","",IF(OR(B248="Deposit",B248="Cash In"),H248,-(H248/MAX(1-I248,0.0001))))</f>
        <v/>
      </c>
      <c r="K246" s="44" t="str">
        <f aca="false">IF(J248="","",IF(ISNUMBER(K247),K247,Settings!$C$4)+J248)</f>
        <v/>
      </c>
      <c r="L246" s="45"/>
    </row>
    <row r="247" customFormat="false" ht="18" hidden="false" customHeight="true" outlineLevel="0" collapsed="false">
      <c r="A247" s="32"/>
      <c r="B247" s="32"/>
      <c r="C247" s="41"/>
      <c r="D247" s="32"/>
      <c r="E247" s="33"/>
      <c r="F247" s="42"/>
      <c r="G247" s="27" t="str">
        <f aca="false">IF(E249="","",IFERROR(VLOOKUP(E249,Settings!$A$7:$B$17,2,FALSE()),1))</f>
        <v/>
      </c>
      <c r="H247" s="43" t="str">
        <f aca="false">IF(OR(F249="",G249=""),"",F249/G249)</f>
        <v/>
      </c>
      <c r="I247" s="29" t="str">
        <f aca="false">IF(B249="","",IFERROR(VLOOKUP(B249,Settings!$E$19:$F$23,2,FALSE()),0))</f>
        <v/>
      </c>
      <c r="J247" s="43" t="str">
        <f aca="false">IF(H249="","",IF(OR(B249="Deposit",B249="Cash In"),H249,-(H249/MAX(1-I249,0.0001))))</f>
        <v/>
      </c>
      <c r="K247" s="44" t="str">
        <f aca="false">IF(J249="","",IF(ISNUMBER(K248),K248,Settings!$C$4)+J249)</f>
        <v/>
      </c>
      <c r="L247" s="45"/>
    </row>
    <row r="248" customFormat="false" ht="18" hidden="false" customHeight="true" outlineLevel="0" collapsed="false">
      <c r="A248" s="32"/>
      <c r="B248" s="32"/>
      <c r="C248" s="41"/>
      <c r="D248" s="32"/>
      <c r="E248" s="33"/>
      <c r="F248" s="42"/>
      <c r="G248" s="27" t="str">
        <f aca="false">IF(E250="","",IFERROR(VLOOKUP(E250,Settings!$A$7:$B$17,2,FALSE()),1))</f>
        <v/>
      </c>
      <c r="H248" s="43" t="str">
        <f aca="false">IF(OR(F250="",G250=""),"",F250/G250)</f>
        <v/>
      </c>
      <c r="I248" s="29" t="str">
        <f aca="false">IF(B250="","",IFERROR(VLOOKUP(B250,Settings!$E$19:$F$23,2,FALSE()),0))</f>
        <v/>
      </c>
      <c r="J248" s="43" t="str">
        <f aca="false">IF(H250="","",IF(OR(B250="Deposit",B250="Cash In"),H250,-(H250/MAX(1-I250,0.0001))))</f>
        <v/>
      </c>
      <c r="K248" s="44" t="str">
        <f aca="false">IF(J250="","",IF(ISNUMBER(K249),K249,Settings!$C$4)+J250)</f>
        <v/>
      </c>
      <c r="L248" s="45"/>
    </row>
    <row r="249" customFormat="false" ht="18" hidden="false" customHeight="true" outlineLevel="0" collapsed="false">
      <c r="A249" s="32"/>
      <c r="B249" s="32"/>
      <c r="C249" s="41"/>
      <c r="D249" s="32"/>
      <c r="E249" s="33"/>
      <c r="F249" s="42"/>
      <c r="G249" s="27" t="str">
        <f aca="false">IF(E251="","",IFERROR(VLOOKUP(E251,Settings!$A$7:$B$17,2,FALSE()),1))</f>
        <v/>
      </c>
      <c r="H249" s="43" t="str">
        <f aca="false">IF(OR(F251="",G251=""),"",F251/G251)</f>
        <v/>
      </c>
      <c r="I249" s="29" t="str">
        <f aca="false">IF(B251="","",IFERROR(VLOOKUP(B251,Settings!$E$19:$F$23,2,FALSE()),0))</f>
        <v/>
      </c>
      <c r="J249" s="43" t="str">
        <f aca="false">IF(H251="","",IF(OR(B251="Deposit",B251="Cash In"),H251,-(H251/MAX(1-I251,0.0001))))</f>
        <v/>
      </c>
      <c r="K249" s="44" t="str">
        <f aca="false">IF(J251="","",IF(ISNUMBER(K250),K250,Settings!$C$4)+J251)</f>
        <v/>
      </c>
      <c r="L249" s="45"/>
    </row>
    <row r="250" customFormat="false" ht="18" hidden="false" customHeight="true" outlineLevel="0" collapsed="false">
      <c r="A250" s="32"/>
      <c r="B250" s="32"/>
      <c r="C250" s="41"/>
      <c r="D250" s="32"/>
      <c r="E250" s="33"/>
      <c r="F250" s="42"/>
      <c r="G250" s="27" t="str">
        <f aca="false">IF(E252="","",IFERROR(VLOOKUP(E252,Settings!$A$7:$B$17,2,FALSE()),1))</f>
        <v/>
      </c>
      <c r="H250" s="43" t="str">
        <f aca="false">IF(OR(F252="",G252=""),"",F252/G252)</f>
        <v/>
      </c>
      <c r="I250" s="29" t="str">
        <f aca="false">IF(B252="","",IFERROR(VLOOKUP(B252,Settings!$E$19:$F$23,2,FALSE()),0))</f>
        <v/>
      </c>
      <c r="J250" s="43" t="str">
        <f aca="false">IF(H252="","",IF(OR(B252="Deposit",B252="Cash In"),H252,-(H252/MAX(1-I252,0.0001))))</f>
        <v/>
      </c>
      <c r="K250" s="44" t="str">
        <f aca="false">IF(J252="","",IF(ISNUMBER(K251),K251,Settings!$C$4)+J252)</f>
        <v/>
      </c>
      <c r="L250" s="45"/>
    </row>
    <row r="251" customFormat="false" ht="18" hidden="false" customHeight="true" outlineLevel="0" collapsed="false">
      <c r="A251" s="32"/>
      <c r="B251" s="32"/>
      <c r="C251" s="41"/>
      <c r="D251" s="32"/>
      <c r="E251" s="33"/>
      <c r="F251" s="42"/>
      <c r="G251" s="27" t="str">
        <f aca="false">IF(E253="","",IFERROR(VLOOKUP(E253,Settings!$A$7:$B$17,2,FALSE()),1))</f>
        <v/>
      </c>
      <c r="H251" s="43" t="str">
        <f aca="false">IF(OR(F253="",G253=""),"",F253/G253)</f>
        <v/>
      </c>
      <c r="I251" s="29" t="str">
        <f aca="false">IF(B253="","",IFERROR(VLOOKUP(B253,Settings!$E$19:$F$23,2,FALSE()),0))</f>
        <v/>
      </c>
      <c r="J251" s="43" t="str">
        <f aca="false">IF(H253="","",IF(OR(B253="Deposit",B253="Cash In"),H253,-(H253/MAX(1-I253,0.0001))))</f>
        <v/>
      </c>
      <c r="K251" s="44" t="str">
        <f aca="false">IF(J253="","",IF(ISNUMBER(K252),K252,Settings!$C$4)+J253)</f>
        <v/>
      </c>
      <c r="L251" s="45"/>
    </row>
    <row r="252" customFormat="false" ht="18" hidden="false" customHeight="true" outlineLevel="0" collapsed="false">
      <c r="A252" s="32"/>
      <c r="B252" s="32"/>
      <c r="C252" s="41"/>
      <c r="D252" s="32"/>
      <c r="E252" s="33"/>
      <c r="F252" s="42"/>
      <c r="G252" s="27" t="str">
        <f aca="false">IF(E254="","",IFERROR(VLOOKUP(E254,Settings!$A$7:$B$17,2,FALSE()),1))</f>
        <v/>
      </c>
      <c r="H252" s="43" t="str">
        <f aca="false">IF(OR(F254="",G254=""),"",F254/G254)</f>
        <v/>
      </c>
      <c r="I252" s="29" t="str">
        <f aca="false">IF(B254="","",IFERROR(VLOOKUP(B254,Settings!$E$19:$F$23,2,FALSE()),0))</f>
        <v/>
      </c>
      <c r="J252" s="43" t="str">
        <f aca="false">IF(H254="","",IF(OR(B254="Deposit",B254="Cash In"),H254,-(H254/MAX(1-I254,0.0001))))</f>
        <v/>
      </c>
      <c r="K252" s="44" t="str">
        <f aca="false">IF(J254="","",IF(ISNUMBER(K253),K253,Settings!$C$4)+J254)</f>
        <v/>
      </c>
      <c r="L252" s="45"/>
    </row>
    <row r="253" customFormat="false" ht="18" hidden="false" customHeight="true" outlineLevel="0" collapsed="false">
      <c r="A253" s="32"/>
      <c r="B253" s="32"/>
      <c r="C253" s="41"/>
      <c r="D253" s="32"/>
      <c r="E253" s="33"/>
      <c r="F253" s="42"/>
      <c r="G253" s="27" t="str">
        <f aca="false">IF(E255="","",IFERROR(VLOOKUP(E255,Settings!$A$7:$B$17,2,FALSE()),1))</f>
        <v/>
      </c>
      <c r="H253" s="43" t="str">
        <f aca="false">IF(OR(F255="",G255=""),"",F255/G255)</f>
        <v/>
      </c>
      <c r="I253" s="29" t="str">
        <f aca="false">IF(B255="","",IFERROR(VLOOKUP(B255,Settings!$E$19:$F$23,2,FALSE()),0))</f>
        <v/>
      </c>
      <c r="J253" s="43" t="str">
        <f aca="false">IF(H255="","",IF(OR(B255="Deposit",B255="Cash In"),H255,-(H255/MAX(1-I255,0.0001))))</f>
        <v/>
      </c>
      <c r="K253" s="44" t="str">
        <f aca="false">IF(J255="","",IF(ISNUMBER(K254),K254,Settings!$C$4)+J255)</f>
        <v/>
      </c>
      <c r="L253" s="45"/>
    </row>
    <row r="254" customFormat="false" ht="18" hidden="false" customHeight="true" outlineLevel="0" collapsed="false">
      <c r="A254" s="32"/>
      <c r="B254" s="32"/>
      <c r="C254" s="41"/>
      <c r="D254" s="32"/>
      <c r="E254" s="33"/>
      <c r="F254" s="42"/>
      <c r="G254" s="27" t="str">
        <f aca="false">IF(E256="","",IFERROR(VLOOKUP(E256,Settings!$A$7:$B$17,2,FALSE()),1))</f>
        <v/>
      </c>
      <c r="H254" s="43" t="str">
        <f aca="false">IF(OR(F256="",G256=""),"",F256/G256)</f>
        <v/>
      </c>
      <c r="I254" s="29" t="str">
        <f aca="false">IF(B256="","",IFERROR(VLOOKUP(B256,Settings!$E$19:$F$23,2,FALSE()),0))</f>
        <v/>
      </c>
      <c r="J254" s="43" t="str">
        <f aca="false">IF(H256="","",IF(OR(B256="Deposit",B256="Cash In"),H256,-(H256/MAX(1-I256,0.0001))))</f>
        <v/>
      </c>
      <c r="K254" s="44" t="str">
        <f aca="false">IF(J256="","",IF(ISNUMBER(K255),K255,Settings!$C$4)+J256)</f>
        <v/>
      </c>
      <c r="L254" s="45"/>
    </row>
    <row r="255" customFormat="false" ht="18" hidden="false" customHeight="true" outlineLevel="0" collapsed="false">
      <c r="A255" s="32"/>
      <c r="B255" s="32"/>
      <c r="C255" s="41"/>
      <c r="D255" s="32"/>
      <c r="E255" s="33"/>
      <c r="F255" s="42"/>
      <c r="G255" s="27" t="str">
        <f aca="false">IF(E257="","",IFERROR(VLOOKUP(E257,Settings!$A$7:$B$17,2,FALSE()),1))</f>
        <v/>
      </c>
      <c r="H255" s="43" t="str">
        <f aca="false">IF(OR(F257="",G257=""),"",F257/G257)</f>
        <v/>
      </c>
      <c r="I255" s="29" t="str">
        <f aca="false">IF(B257="","",IFERROR(VLOOKUP(B257,Settings!$E$19:$F$23,2,FALSE()),0))</f>
        <v/>
      </c>
      <c r="J255" s="43" t="str">
        <f aca="false">IF(H257="","",IF(OR(B257="Deposit",B257="Cash In"),H257,-(H257/MAX(1-I257,0.0001))))</f>
        <v/>
      </c>
      <c r="K255" s="44" t="str">
        <f aca="false">IF(J257="","",IF(ISNUMBER(K256),K256,Settings!$C$4)+J257)</f>
        <v/>
      </c>
      <c r="L255" s="45"/>
    </row>
    <row r="256" customFormat="false" ht="18" hidden="false" customHeight="true" outlineLevel="0" collapsed="false">
      <c r="A256" s="32"/>
      <c r="B256" s="32"/>
      <c r="C256" s="41"/>
      <c r="D256" s="32"/>
      <c r="E256" s="33"/>
      <c r="F256" s="42"/>
      <c r="G256" s="27" t="str">
        <f aca="false">IF(E258="","",IFERROR(VLOOKUP(E258,Settings!$A$7:$B$17,2,FALSE()),1))</f>
        <v/>
      </c>
      <c r="H256" s="43" t="str">
        <f aca="false">IF(OR(F258="",G258=""),"",F258/G258)</f>
        <v/>
      </c>
      <c r="I256" s="29" t="str">
        <f aca="false">IF(B258="","",IFERROR(VLOOKUP(B258,Settings!$E$19:$F$23,2,FALSE()),0))</f>
        <v/>
      </c>
      <c r="J256" s="43" t="str">
        <f aca="false">IF(H258="","",IF(OR(B258="Deposit",B258="Cash In"),H258,-(H258/MAX(1-I258,0.0001))))</f>
        <v/>
      </c>
      <c r="K256" s="44" t="str">
        <f aca="false">IF(J258="","",IF(ISNUMBER(K257),K257,Settings!$C$4)+J258)</f>
        <v/>
      </c>
      <c r="L256" s="45"/>
    </row>
    <row r="257" customFormat="false" ht="18" hidden="false" customHeight="true" outlineLevel="0" collapsed="false">
      <c r="A257" s="32"/>
      <c r="B257" s="32"/>
      <c r="C257" s="41"/>
      <c r="D257" s="32"/>
      <c r="E257" s="33"/>
      <c r="F257" s="42"/>
      <c r="G257" s="27" t="str">
        <f aca="false">IF(E259="","",IFERROR(VLOOKUP(E259,Settings!$A$7:$B$17,2,FALSE()),1))</f>
        <v/>
      </c>
      <c r="H257" s="43" t="str">
        <f aca="false">IF(OR(F259="",G259=""),"",F259/G259)</f>
        <v/>
      </c>
      <c r="I257" s="29" t="str">
        <f aca="false">IF(B259="","",IFERROR(VLOOKUP(B259,Settings!$E$19:$F$23,2,FALSE()),0))</f>
        <v/>
      </c>
      <c r="J257" s="43" t="str">
        <f aca="false">IF(H259="","",IF(OR(B259="Deposit",B259="Cash In"),H259,-(H259/MAX(1-I259,0.0001))))</f>
        <v/>
      </c>
      <c r="K257" s="44" t="str">
        <f aca="false">IF(J259="","",IF(ISNUMBER(K258),K258,Settings!$C$4)+J259)</f>
        <v/>
      </c>
      <c r="L257" s="45"/>
    </row>
    <row r="258" customFormat="false" ht="18" hidden="false" customHeight="true" outlineLevel="0" collapsed="false">
      <c r="A258" s="32"/>
      <c r="B258" s="32"/>
      <c r="C258" s="41"/>
      <c r="D258" s="32"/>
      <c r="E258" s="33"/>
      <c r="F258" s="42"/>
      <c r="G258" s="27" t="str">
        <f aca="false">IF(E260="","",IFERROR(VLOOKUP(E260,Settings!$A$7:$B$17,2,FALSE()),1))</f>
        <v/>
      </c>
      <c r="H258" s="43" t="str">
        <f aca="false">IF(OR(F260="",G260=""),"",F260/G260)</f>
        <v/>
      </c>
      <c r="I258" s="29" t="str">
        <f aca="false">IF(B260="","",IFERROR(VLOOKUP(B260,Settings!$E$19:$F$23,2,FALSE()),0))</f>
        <v/>
      </c>
      <c r="J258" s="43" t="str">
        <f aca="false">IF(H260="","",IF(OR(B260="Deposit",B260="Cash In"),H260,-(H260/MAX(1-I260,0.0001))))</f>
        <v/>
      </c>
      <c r="K258" s="44" t="str">
        <f aca="false">IF(J260="","",IF(ISNUMBER(K259),K259,Settings!$C$4)+J260)</f>
        <v/>
      </c>
      <c r="L258" s="45"/>
    </row>
    <row r="259" customFormat="false" ht="18" hidden="false" customHeight="true" outlineLevel="0" collapsed="false">
      <c r="A259" s="32"/>
      <c r="B259" s="32"/>
      <c r="C259" s="41"/>
      <c r="D259" s="32"/>
      <c r="E259" s="33"/>
      <c r="F259" s="42"/>
      <c r="G259" s="27" t="str">
        <f aca="false">IF(E261="","",IFERROR(VLOOKUP(E261,Settings!$A$7:$B$17,2,FALSE()),1))</f>
        <v/>
      </c>
      <c r="H259" s="43" t="str">
        <f aca="false">IF(OR(F261="",G261=""),"",F261/G261)</f>
        <v/>
      </c>
      <c r="I259" s="29" t="str">
        <f aca="false">IF(B261="","",IFERROR(VLOOKUP(B261,Settings!$E$19:$F$23,2,FALSE()),0))</f>
        <v/>
      </c>
      <c r="J259" s="43" t="str">
        <f aca="false">IF(H261="","",IF(OR(B261="Deposit",B261="Cash In"),H261,-(H261/MAX(1-I261,0.0001))))</f>
        <v/>
      </c>
      <c r="K259" s="44" t="str">
        <f aca="false">IF(J261="","",IF(ISNUMBER(K260),K260,Settings!$C$4)+J261)</f>
        <v/>
      </c>
      <c r="L259" s="45"/>
    </row>
    <row r="260" customFormat="false" ht="18" hidden="false" customHeight="true" outlineLevel="0" collapsed="false">
      <c r="A260" s="32"/>
      <c r="B260" s="32"/>
      <c r="C260" s="41"/>
      <c r="D260" s="32"/>
      <c r="E260" s="33"/>
      <c r="F260" s="42"/>
      <c r="G260" s="27" t="str">
        <f aca="false">IF(E262="","",IFERROR(VLOOKUP(E262,Settings!$A$7:$B$17,2,FALSE()),1))</f>
        <v/>
      </c>
      <c r="H260" s="43" t="str">
        <f aca="false">IF(OR(F262="",G262=""),"",F262/G262)</f>
        <v/>
      </c>
      <c r="I260" s="29" t="str">
        <f aca="false">IF(B262="","",IFERROR(VLOOKUP(B262,Settings!$E$19:$F$23,2,FALSE()),0))</f>
        <v/>
      </c>
      <c r="J260" s="43" t="str">
        <f aca="false">IF(H262="","",IF(OR(B262="Deposit",B262="Cash In"),H262,-(H262/MAX(1-I262,0.0001))))</f>
        <v/>
      </c>
      <c r="K260" s="44" t="str">
        <f aca="false">IF(J262="","",IF(ISNUMBER(K261),K261,Settings!$C$4)+J262)</f>
        <v/>
      </c>
      <c r="L260" s="45"/>
    </row>
    <row r="261" customFormat="false" ht="18" hidden="false" customHeight="true" outlineLevel="0" collapsed="false">
      <c r="A261" s="32"/>
      <c r="B261" s="32"/>
      <c r="C261" s="41"/>
      <c r="D261" s="32"/>
      <c r="E261" s="33"/>
      <c r="F261" s="42"/>
      <c r="G261" s="27" t="str">
        <f aca="false">IF(E263="","",IFERROR(VLOOKUP(E263,Settings!$A$7:$B$17,2,FALSE()),1))</f>
        <v/>
      </c>
      <c r="H261" s="43" t="str">
        <f aca="false">IF(OR(F263="",G263=""),"",F263/G263)</f>
        <v/>
      </c>
      <c r="I261" s="29" t="str">
        <f aca="false">IF(B263="","",IFERROR(VLOOKUP(B263,Settings!$E$19:$F$23,2,FALSE()),0))</f>
        <v/>
      </c>
      <c r="J261" s="43" t="str">
        <f aca="false">IF(H263="","",IF(OR(B263="Deposit",B263="Cash In"),H263,-(H263/MAX(1-I263,0.0001))))</f>
        <v/>
      </c>
      <c r="K261" s="44" t="str">
        <f aca="false">IF(J263="","",IF(ISNUMBER(K262),K262,Settings!$C$4)+J263)</f>
        <v/>
      </c>
      <c r="L261" s="45"/>
    </row>
    <row r="262" customFormat="false" ht="18" hidden="false" customHeight="true" outlineLevel="0" collapsed="false">
      <c r="A262" s="32"/>
      <c r="B262" s="32"/>
      <c r="C262" s="41"/>
      <c r="D262" s="32"/>
      <c r="E262" s="33"/>
      <c r="F262" s="42"/>
      <c r="G262" s="27" t="str">
        <f aca="false">IF(E264="","",IFERROR(VLOOKUP(E264,Settings!$A$7:$B$17,2,FALSE()),1))</f>
        <v/>
      </c>
      <c r="H262" s="43" t="str">
        <f aca="false">IF(OR(F264="",G264=""),"",F264/G264)</f>
        <v/>
      </c>
      <c r="I262" s="29" t="str">
        <f aca="false">IF(B264="","",IFERROR(VLOOKUP(B264,Settings!$E$19:$F$23,2,FALSE()),0))</f>
        <v/>
      </c>
      <c r="J262" s="43" t="str">
        <f aca="false">IF(H264="","",IF(OR(B264="Deposit",B264="Cash In"),H264,-(H264/MAX(1-I264,0.0001))))</f>
        <v/>
      </c>
      <c r="K262" s="44" t="str">
        <f aca="false">IF(J264="","",IF(ISNUMBER(K263),K263,Settings!$C$4)+J264)</f>
        <v/>
      </c>
      <c r="L262" s="45"/>
    </row>
    <row r="263" customFormat="false" ht="18" hidden="false" customHeight="true" outlineLevel="0" collapsed="false">
      <c r="A263" s="32"/>
      <c r="B263" s="32"/>
      <c r="C263" s="41"/>
      <c r="D263" s="32"/>
      <c r="E263" s="33"/>
      <c r="F263" s="42"/>
      <c r="G263" s="27" t="str">
        <f aca="false">IF(E265="","",IFERROR(VLOOKUP(E265,Settings!$A$7:$B$17,2,FALSE()),1))</f>
        <v/>
      </c>
      <c r="H263" s="43" t="str">
        <f aca="false">IF(OR(F265="",G265=""),"",F265/G265)</f>
        <v/>
      </c>
      <c r="I263" s="29" t="str">
        <f aca="false">IF(B265="","",IFERROR(VLOOKUP(B265,Settings!$E$19:$F$23,2,FALSE()),0))</f>
        <v/>
      </c>
      <c r="J263" s="43" t="str">
        <f aca="false">IF(H265="","",IF(OR(B265="Deposit",B265="Cash In"),H265,-(H265/MAX(1-I265,0.0001))))</f>
        <v/>
      </c>
      <c r="K263" s="44" t="str">
        <f aca="false">IF(J265="","",IF(ISNUMBER(K264),K264,Settings!$C$4)+J265)</f>
        <v/>
      </c>
      <c r="L263" s="45"/>
    </row>
    <row r="264" customFormat="false" ht="18" hidden="false" customHeight="true" outlineLevel="0" collapsed="false">
      <c r="A264" s="32"/>
      <c r="B264" s="32"/>
      <c r="C264" s="41"/>
      <c r="D264" s="32"/>
      <c r="E264" s="33"/>
      <c r="F264" s="42"/>
      <c r="G264" s="27" t="str">
        <f aca="false">IF(E266="","",IFERROR(VLOOKUP(E266,Settings!$A$7:$B$17,2,FALSE()),1))</f>
        <v/>
      </c>
      <c r="H264" s="43" t="str">
        <f aca="false">IF(OR(F266="",G266=""),"",F266/G266)</f>
        <v/>
      </c>
      <c r="I264" s="29" t="str">
        <f aca="false">IF(B266="","",IFERROR(VLOOKUP(B266,Settings!$E$19:$F$23,2,FALSE()),0))</f>
        <v/>
      </c>
      <c r="J264" s="43" t="str">
        <f aca="false">IF(H266="","",IF(OR(B266="Deposit",B266="Cash In"),H266,-(H266/MAX(1-I266,0.0001))))</f>
        <v/>
      </c>
      <c r="K264" s="44" t="str">
        <f aca="false">IF(J266="","",IF(ISNUMBER(K265),K265,Settings!$C$4)+J266)</f>
        <v/>
      </c>
      <c r="L264" s="45"/>
    </row>
    <row r="265" customFormat="false" ht="18" hidden="false" customHeight="true" outlineLevel="0" collapsed="false">
      <c r="A265" s="32"/>
      <c r="B265" s="32"/>
      <c r="C265" s="41"/>
      <c r="D265" s="32"/>
      <c r="E265" s="33"/>
      <c r="F265" s="42"/>
      <c r="G265" s="27" t="str">
        <f aca="false">IF(E267="","",IFERROR(VLOOKUP(E267,Settings!$A$7:$B$17,2,FALSE()),1))</f>
        <v/>
      </c>
      <c r="H265" s="43" t="str">
        <f aca="false">IF(OR(F267="",G267=""),"",F267/G267)</f>
        <v/>
      </c>
      <c r="I265" s="29" t="str">
        <f aca="false">IF(B267="","",IFERROR(VLOOKUP(B267,Settings!$E$19:$F$23,2,FALSE()),0))</f>
        <v/>
      </c>
      <c r="J265" s="43" t="str">
        <f aca="false">IF(H267="","",IF(OR(B267="Deposit",B267="Cash In"),H267,-(H267/MAX(1-I267,0.0001))))</f>
        <v/>
      </c>
      <c r="K265" s="44" t="str">
        <f aca="false">IF(J267="","",IF(ISNUMBER(K266),K266,Settings!$C$4)+J267)</f>
        <v/>
      </c>
      <c r="L265" s="45"/>
    </row>
    <row r="266" customFormat="false" ht="18" hidden="false" customHeight="true" outlineLevel="0" collapsed="false">
      <c r="A266" s="32"/>
      <c r="B266" s="32"/>
      <c r="C266" s="41"/>
      <c r="D266" s="32"/>
      <c r="E266" s="33"/>
      <c r="F266" s="42"/>
      <c r="G266" s="27" t="str">
        <f aca="false">IF(E268="","",IFERROR(VLOOKUP(E268,Settings!$A$7:$B$17,2,FALSE()),1))</f>
        <v/>
      </c>
      <c r="H266" s="43" t="str">
        <f aca="false">IF(OR(F268="",G268=""),"",F268/G268)</f>
        <v/>
      </c>
      <c r="I266" s="29" t="str">
        <f aca="false">IF(B268="","",IFERROR(VLOOKUP(B268,Settings!$E$19:$F$23,2,FALSE()),0))</f>
        <v/>
      </c>
      <c r="J266" s="43" t="str">
        <f aca="false">IF(H268="","",IF(OR(B268="Deposit",B268="Cash In"),H268,-(H268/MAX(1-I268,0.0001))))</f>
        <v/>
      </c>
      <c r="K266" s="44" t="str">
        <f aca="false">IF(J268="","",IF(ISNUMBER(K267),K267,Settings!$C$4)+J268)</f>
        <v/>
      </c>
      <c r="L266" s="45"/>
    </row>
    <row r="267" customFormat="false" ht="18" hidden="false" customHeight="true" outlineLevel="0" collapsed="false">
      <c r="A267" s="32"/>
      <c r="B267" s="32"/>
      <c r="C267" s="41"/>
      <c r="D267" s="32"/>
      <c r="E267" s="33"/>
      <c r="F267" s="42"/>
      <c r="G267" s="27" t="str">
        <f aca="false">IF(E269="","",IFERROR(VLOOKUP(E269,Settings!$A$7:$B$17,2,FALSE()),1))</f>
        <v/>
      </c>
      <c r="H267" s="43" t="str">
        <f aca="false">IF(OR(F269="",G269=""),"",F269/G269)</f>
        <v/>
      </c>
      <c r="I267" s="29" t="str">
        <f aca="false">IF(B269="","",IFERROR(VLOOKUP(B269,Settings!$E$19:$F$23,2,FALSE()),0))</f>
        <v/>
      </c>
      <c r="J267" s="43" t="str">
        <f aca="false">IF(H269="","",IF(OR(B269="Deposit",B269="Cash In"),H269,-(H269/MAX(1-I269,0.0001))))</f>
        <v/>
      </c>
      <c r="K267" s="44" t="str">
        <f aca="false">IF(J269="","",IF(ISNUMBER(K268),K268,Settings!$C$4)+J269)</f>
        <v/>
      </c>
      <c r="L267" s="45"/>
    </row>
    <row r="268" customFormat="false" ht="18" hidden="false" customHeight="true" outlineLevel="0" collapsed="false">
      <c r="A268" s="32"/>
      <c r="B268" s="32"/>
      <c r="C268" s="41"/>
      <c r="D268" s="32"/>
      <c r="E268" s="33"/>
      <c r="F268" s="42"/>
      <c r="G268" s="27" t="str">
        <f aca="false">IF(E270="","",IFERROR(VLOOKUP(E270,Settings!$A$7:$B$17,2,FALSE()),1))</f>
        <v/>
      </c>
      <c r="H268" s="43" t="str">
        <f aca="false">IF(OR(F270="",G270=""),"",F270/G270)</f>
        <v/>
      </c>
      <c r="I268" s="29" t="str">
        <f aca="false">IF(B270="","",IFERROR(VLOOKUP(B270,Settings!$E$19:$F$23,2,FALSE()),0))</f>
        <v/>
      </c>
      <c r="J268" s="43" t="str">
        <f aca="false">IF(H270="","",IF(OR(B270="Deposit",B270="Cash In"),H270,-(H270/MAX(1-I270,0.0001))))</f>
        <v/>
      </c>
      <c r="K268" s="44" t="str">
        <f aca="false">IF(J270="","",IF(ISNUMBER(K269),K269,Settings!$C$4)+J270)</f>
        <v/>
      </c>
      <c r="L268" s="45"/>
    </row>
    <row r="269" customFormat="false" ht="18" hidden="false" customHeight="true" outlineLevel="0" collapsed="false">
      <c r="A269" s="32"/>
      <c r="B269" s="32"/>
      <c r="C269" s="41"/>
      <c r="D269" s="32"/>
      <c r="E269" s="33"/>
      <c r="F269" s="42"/>
      <c r="G269" s="27" t="str">
        <f aca="false">IF(E271="","",IFERROR(VLOOKUP(E271,Settings!$A$7:$B$17,2,FALSE()),1))</f>
        <v/>
      </c>
      <c r="H269" s="43" t="str">
        <f aca="false">IF(OR(F271="",G271=""),"",F271/G271)</f>
        <v/>
      </c>
      <c r="I269" s="29" t="str">
        <f aca="false">IF(B271="","",IFERROR(VLOOKUP(B271,Settings!$E$19:$F$23,2,FALSE()),0))</f>
        <v/>
      </c>
      <c r="J269" s="43" t="str">
        <f aca="false">IF(H271="","",IF(OR(B271="Deposit",B271="Cash In"),H271,-(H271/MAX(1-I271,0.0001))))</f>
        <v/>
      </c>
      <c r="K269" s="44" t="str">
        <f aca="false">IF(J271="","",IF(ISNUMBER(K270),K270,Settings!$C$4)+J271)</f>
        <v/>
      </c>
      <c r="L269" s="45"/>
    </row>
    <row r="270" customFormat="false" ht="18" hidden="false" customHeight="true" outlineLevel="0" collapsed="false">
      <c r="A270" s="32"/>
      <c r="B270" s="32"/>
      <c r="C270" s="41"/>
      <c r="D270" s="32"/>
      <c r="E270" s="33"/>
      <c r="F270" s="42"/>
      <c r="G270" s="27" t="str">
        <f aca="false">IF(E272="","",IFERROR(VLOOKUP(E272,Settings!$A$7:$B$17,2,FALSE()),1))</f>
        <v/>
      </c>
      <c r="H270" s="43" t="str">
        <f aca="false">IF(OR(F272="",G272=""),"",F272/G272)</f>
        <v/>
      </c>
      <c r="I270" s="29" t="str">
        <f aca="false">IF(B272="","",IFERROR(VLOOKUP(B272,Settings!$E$19:$F$23,2,FALSE()),0))</f>
        <v/>
      </c>
      <c r="J270" s="43" t="str">
        <f aca="false">IF(H272="","",IF(OR(B272="Deposit",B272="Cash In"),H272,-(H272/MAX(1-I272,0.0001))))</f>
        <v/>
      </c>
      <c r="K270" s="44" t="str">
        <f aca="false">IF(J272="","",IF(ISNUMBER(K271),K271,Settings!$C$4)+J272)</f>
        <v/>
      </c>
      <c r="L270" s="45"/>
    </row>
    <row r="271" customFormat="false" ht="18" hidden="false" customHeight="true" outlineLevel="0" collapsed="false">
      <c r="A271" s="32"/>
      <c r="B271" s="32"/>
      <c r="C271" s="41"/>
      <c r="D271" s="32"/>
      <c r="E271" s="33"/>
      <c r="F271" s="42"/>
      <c r="G271" s="27" t="str">
        <f aca="false">IF(E273="","",IFERROR(VLOOKUP(E273,Settings!$A$7:$B$17,2,FALSE()),1))</f>
        <v/>
      </c>
      <c r="H271" s="43" t="str">
        <f aca="false">IF(OR(F273="",G273=""),"",F273/G273)</f>
        <v/>
      </c>
      <c r="I271" s="29" t="str">
        <f aca="false">IF(B273="","",IFERROR(VLOOKUP(B273,Settings!$E$19:$F$23,2,FALSE()),0))</f>
        <v/>
      </c>
      <c r="J271" s="43" t="str">
        <f aca="false">IF(H273="","",IF(OR(B273="Deposit",B273="Cash In"),H273,-(H273/MAX(1-I273,0.0001))))</f>
        <v/>
      </c>
      <c r="K271" s="44" t="str">
        <f aca="false">IF(J273="","",IF(ISNUMBER(K272),K272,Settings!$C$4)+J273)</f>
        <v/>
      </c>
      <c r="L271" s="45"/>
    </row>
    <row r="272" customFormat="false" ht="18" hidden="false" customHeight="true" outlineLevel="0" collapsed="false">
      <c r="A272" s="32"/>
      <c r="B272" s="32"/>
      <c r="C272" s="41"/>
      <c r="D272" s="32"/>
      <c r="E272" s="33"/>
      <c r="F272" s="42"/>
      <c r="G272" s="27" t="str">
        <f aca="false">IF(E274="","",IFERROR(VLOOKUP(E274,Settings!$A$7:$B$17,2,FALSE()),1))</f>
        <v/>
      </c>
      <c r="H272" s="43" t="str">
        <f aca="false">IF(OR(F274="",G274=""),"",F274/G274)</f>
        <v/>
      </c>
      <c r="I272" s="29" t="str">
        <f aca="false">IF(B274="","",IFERROR(VLOOKUP(B274,Settings!$E$19:$F$23,2,FALSE()),0))</f>
        <v/>
      </c>
      <c r="J272" s="43" t="str">
        <f aca="false">IF(H274="","",IF(OR(B274="Deposit",B274="Cash In"),H274,-(H274/MAX(1-I274,0.0001))))</f>
        <v/>
      </c>
      <c r="K272" s="44" t="str">
        <f aca="false">IF(J274="","",IF(ISNUMBER(K273),K273,Settings!$C$4)+J274)</f>
        <v/>
      </c>
      <c r="L272" s="45"/>
    </row>
    <row r="273" customFormat="false" ht="18" hidden="false" customHeight="true" outlineLevel="0" collapsed="false">
      <c r="A273" s="32"/>
      <c r="B273" s="32"/>
      <c r="C273" s="41"/>
      <c r="D273" s="32"/>
      <c r="E273" s="33"/>
      <c r="F273" s="42"/>
      <c r="G273" s="27" t="str">
        <f aca="false">IF(E275="","",IFERROR(VLOOKUP(E275,Settings!$A$7:$B$17,2,FALSE()),1))</f>
        <v/>
      </c>
      <c r="H273" s="43" t="str">
        <f aca="false">IF(OR(F275="",G275=""),"",F275/G275)</f>
        <v/>
      </c>
      <c r="I273" s="29" t="str">
        <f aca="false">IF(B275="","",IFERROR(VLOOKUP(B275,Settings!$E$19:$F$23,2,FALSE()),0))</f>
        <v/>
      </c>
      <c r="J273" s="43" t="str">
        <f aca="false">IF(H275="","",IF(OR(B275="Deposit",B275="Cash In"),H275,-(H275/MAX(1-I275,0.0001))))</f>
        <v/>
      </c>
      <c r="K273" s="44" t="str">
        <f aca="false">IF(J275="","",IF(ISNUMBER(K274),K274,Settings!$C$4)+J275)</f>
        <v/>
      </c>
      <c r="L273" s="45"/>
    </row>
    <row r="274" customFormat="false" ht="18" hidden="false" customHeight="true" outlineLevel="0" collapsed="false">
      <c r="A274" s="32"/>
      <c r="B274" s="32"/>
      <c r="C274" s="41"/>
      <c r="D274" s="32"/>
      <c r="E274" s="33"/>
      <c r="F274" s="42"/>
      <c r="G274" s="27" t="str">
        <f aca="false">IF(E276="","",IFERROR(VLOOKUP(E276,Settings!$A$7:$B$17,2,FALSE()),1))</f>
        <v/>
      </c>
      <c r="H274" s="43" t="str">
        <f aca="false">IF(OR(F276="",G276=""),"",F276/G276)</f>
        <v/>
      </c>
      <c r="I274" s="29" t="str">
        <f aca="false">IF(B276="","",IFERROR(VLOOKUP(B276,Settings!$E$19:$F$23,2,FALSE()),0))</f>
        <v/>
      </c>
      <c r="J274" s="43" t="str">
        <f aca="false">IF(H276="","",IF(OR(B276="Deposit",B276="Cash In"),H276,-(H276/MAX(1-I276,0.0001))))</f>
        <v/>
      </c>
      <c r="K274" s="44" t="str">
        <f aca="false">IF(J276="","",IF(ISNUMBER(K275),K275,Settings!$C$4)+J276)</f>
        <v/>
      </c>
      <c r="L274" s="45"/>
    </row>
    <row r="275" customFormat="false" ht="18" hidden="false" customHeight="true" outlineLevel="0" collapsed="false">
      <c r="A275" s="32"/>
      <c r="B275" s="32"/>
      <c r="C275" s="41"/>
      <c r="D275" s="32"/>
      <c r="E275" s="33"/>
      <c r="F275" s="42"/>
      <c r="G275" s="27" t="str">
        <f aca="false">IF(E277="","",IFERROR(VLOOKUP(E277,Settings!$A$7:$B$17,2,FALSE()),1))</f>
        <v/>
      </c>
      <c r="H275" s="43" t="str">
        <f aca="false">IF(OR(F277="",G277=""),"",F277/G277)</f>
        <v/>
      </c>
      <c r="I275" s="29" t="str">
        <f aca="false">IF(B277="","",IFERROR(VLOOKUP(B277,Settings!$E$19:$F$23,2,FALSE()),0))</f>
        <v/>
      </c>
      <c r="J275" s="43" t="str">
        <f aca="false">IF(H277="","",IF(OR(B277="Deposit",B277="Cash In"),H277,-(H277/MAX(1-I277,0.0001))))</f>
        <v/>
      </c>
      <c r="K275" s="44" t="str">
        <f aca="false">IF(J277="","",IF(ISNUMBER(K276),K276,Settings!$C$4)+J277)</f>
        <v/>
      </c>
      <c r="L275" s="45"/>
    </row>
    <row r="276" customFormat="false" ht="18" hidden="false" customHeight="true" outlineLevel="0" collapsed="false">
      <c r="A276" s="32"/>
      <c r="B276" s="32"/>
      <c r="C276" s="41"/>
      <c r="D276" s="32"/>
      <c r="E276" s="33"/>
      <c r="F276" s="42"/>
      <c r="G276" s="27" t="str">
        <f aca="false">IF(E278="","",IFERROR(VLOOKUP(E278,Settings!$A$7:$B$17,2,FALSE()),1))</f>
        <v/>
      </c>
      <c r="H276" s="43" t="str">
        <f aca="false">IF(OR(F278="",G278=""),"",F278/G278)</f>
        <v/>
      </c>
      <c r="I276" s="29" t="str">
        <f aca="false">IF(B278="","",IFERROR(VLOOKUP(B278,Settings!$E$19:$F$23,2,FALSE()),0))</f>
        <v/>
      </c>
      <c r="J276" s="43" t="str">
        <f aca="false">IF(H278="","",IF(OR(B278="Deposit",B278="Cash In"),H278,-(H278/MAX(1-I278,0.0001))))</f>
        <v/>
      </c>
      <c r="K276" s="44" t="str">
        <f aca="false">IF(J278="","",IF(ISNUMBER(K277),K277,Settings!$C$4)+J278)</f>
        <v/>
      </c>
      <c r="L276" s="45"/>
    </row>
    <row r="277" customFormat="false" ht="18" hidden="false" customHeight="true" outlineLevel="0" collapsed="false">
      <c r="A277" s="32"/>
      <c r="B277" s="32"/>
      <c r="C277" s="41"/>
      <c r="D277" s="32"/>
      <c r="E277" s="33"/>
      <c r="F277" s="42"/>
      <c r="G277" s="27" t="str">
        <f aca="false">IF(E279="","",IFERROR(VLOOKUP(E279,Settings!$A$7:$B$17,2,FALSE()),1))</f>
        <v/>
      </c>
      <c r="H277" s="43" t="str">
        <f aca="false">IF(OR(F279="",G279=""),"",F279/G279)</f>
        <v/>
      </c>
      <c r="I277" s="29" t="str">
        <f aca="false">IF(B279="","",IFERROR(VLOOKUP(B279,Settings!$E$19:$F$23,2,FALSE()),0))</f>
        <v/>
      </c>
      <c r="J277" s="43" t="str">
        <f aca="false">IF(H279="","",IF(OR(B279="Deposit",B279="Cash In"),H279,-(H279/MAX(1-I279,0.0001))))</f>
        <v/>
      </c>
      <c r="K277" s="44" t="str">
        <f aca="false">IF(J279="","",IF(ISNUMBER(K278),K278,Settings!$C$4)+J279)</f>
        <v/>
      </c>
      <c r="L277" s="45"/>
    </row>
    <row r="278" customFormat="false" ht="18" hidden="false" customHeight="true" outlineLevel="0" collapsed="false">
      <c r="A278" s="32"/>
      <c r="B278" s="32"/>
      <c r="C278" s="41"/>
      <c r="D278" s="32"/>
      <c r="E278" s="33"/>
      <c r="F278" s="42"/>
      <c r="G278" s="27" t="str">
        <f aca="false">IF(E280="","",IFERROR(VLOOKUP(E280,Settings!$A$7:$B$17,2,FALSE()),1))</f>
        <v/>
      </c>
      <c r="H278" s="43" t="str">
        <f aca="false">IF(OR(F280="",G280=""),"",F280/G280)</f>
        <v/>
      </c>
      <c r="I278" s="29" t="str">
        <f aca="false">IF(B280="","",IFERROR(VLOOKUP(B280,Settings!$E$19:$F$23,2,FALSE()),0))</f>
        <v/>
      </c>
      <c r="J278" s="43" t="str">
        <f aca="false">IF(H280="","",IF(OR(B280="Deposit",B280="Cash In"),H280,-(H280/MAX(1-I280,0.0001))))</f>
        <v/>
      </c>
      <c r="K278" s="44" t="str">
        <f aca="false">IF(J280="","",IF(ISNUMBER(K279),K279,Settings!$C$4)+J280)</f>
        <v/>
      </c>
      <c r="L278" s="45"/>
    </row>
    <row r="279" customFormat="false" ht="18" hidden="false" customHeight="true" outlineLevel="0" collapsed="false">
      <c r="A279" s="32"/>
      <c r="B279" s="32"/>
      <c r="C279" s="41"/>
      <c r="D279" s="32"/>
      <c r="E279" s="33"/>
      <c r="F279" s="42"/>
      <c r="G279" s="27" t="str">
        <f aca="false">IF(E281="","",IFERROR(VLOOKUP(E281,Settings!$A$7:$B$17,2,FALSE()),1))</f>
        <v/>
      </c>
      <c r="H279" s="43" t="str">
        <f aca="false">IF(OR(F281="",G281=""),"",F281/G281)</f>
        <v/>
      </c>
      <c r="I279" s="29" t="str">
        <f aca="false">IF(B281="","",IFERROR(VLOOKUP(B281,Settings!$E$19:$F$23,2,FALSE()),0))</f>
        <v/>
      </c>
      <c r="J279" s="43" t="str">
        <f aca="false">IF(H281="","",IF(OR(B281="Deposit",B281="Cash In"),H281,-(H281/MAX(1-I281,0.0001))))</f>
        <v/>
      </c>
      <c r="K279" s="44" t="str">
        <f aca="false">IF(J281="","",IF(ISNUMBER(K280),K280,Settings!$C$4)+J281)</f>
        <v/>
      </c>
      <c r="L279" s="45"/>
    </row>
    <row r="280" customFormat="false" ht="18" hidden="false" customHeight="true" outlineLevel="0" collapsed="false">
      <c r="A280" s="32"/>
      <c r="B280" s="32"/>
      <c r="C280" s="41"/>
      <c r="D280" s="32"/>
      <c r="E280" s="33"/>
      <c r="F280" s="42"/>
      <c r="G280" s="27" t="str">
        <f aca="false">IF(E282="","",IFERROR(VLOOKUP(E282,Settings!$A$7:$B$17,2,FALSE()),1))</f>
        <v/>
      </c>
      <c r="H280" s="43" t="str">
        <f aca="false">IF(OR(F282="",G282=""),"",F282/G282)</f>
        <v/>
      </c>
      <c r="I280" s="29" t="str">
        <f aca="false">IF(B282="","",IFERROR(VLOOKUP(B282,Settings!$E$19:$F$23,2,FALSE()),0))</f>
        <v/>
      </c>
      <c r="J280" s="43" t="str">
        <f aca="false">IF(H282="","",IF(OR(B282="Deposit",B282="Cash In"),H282,-(H282/MAX(1-I282,0.0001))))</f>
        <v/>
      </c>
      <c r="K280" s="44" t="str">
        <f aca="false">IF(J282="","",IF(ISNUMBER(K281),K281,Settings!$C$4)+J282)</f>
        <v/>
      </c>
      <c r="L280" s="45"/>
    </row>
    <row r="281" customFormat="false" ht="18" hidden="false" customHeight="true" outlineLevel="0" collapsed="false">
      <c r="A281" s="32"/>
      <c r="B281" s="32"/>
      <c r="C281" s="41"/>
      <c r="D281" s="32"/>
      <c r="E281" s="33"/>
      <c r="F281" s="42"/>
      <c r="G281" s="27" t="str">
        <f aca="false">IF(E283="","",IFERROR(VLOOKUP(E283,Settings!$A$7:$B$17,2,FALSE()),1))</f>
        <v/>
      </c>
      <c r="H281" s="43" t="str">
        <f aca="false">IF(OR(F283="",G283=""),"",F283/G283)</f>
        <v/>
      </c>
      <c r="I281" s="29" t="str">
        <f aca="false">IF(B283="","",IFERROR(VLOOKUP(B283,Settings!$E$19:$F$23,2,FALSE()),0))</f>
        <v/>
      </c>
      <c r="J281" s="43" t="str">
        <f aca="false">IF(H283="","",IF(OR(B283="Deposit",B283="Cash In"),H283,-(H283/MAX(1-I283,0.0001))))</f>
        <v/>
      </c>
      <c r="K281" s="44" t="str">
        <f aca="false">IF(J283="","",IF(ISNUMBER(K282),K282,Settings!$C$4)+J283)</f>
        <v/>
      </c>
      <c r="L281" s="45"/>
    </row>
    <row r="282" customFormat="false" ht="18" hidden="false" customHeight="true" outlineLevel="0" collapsed="false">
      <c r="A282" s="32"/>
      <c r="B282" s="32"/>
      <c r="C282" s="41"/>
      <c r="D282" s="32"/>
      <c r="E282" s="33"/>
      <c r="F282" s="42"/>
      <c r="G282" s="27" t="str">
        <f aca="false">IF(E284="","",IFERROR(VLOOKUP(E284,Settings!$A$7:$B$17,2,FALSE()),1))</f>
        <v/>
      </c>
      <c r="H282" s="43" t="str">
        <f aca="false">IF(OR(F284="",G284=""),"",F284/G284)</f>
        <v/>
      </c>
      <c r="I282" s="29" t="str">
        <f aca="false">IF(B284="","",IFERROR(VLOOKUP(B284,Settings!$E$19:$F$23,2,FALSE()),0))</f>
        <v/>
      </c>
      <c r="J282" s="43" t="str">
        <f aca="false">IF(H284="","",IF(OR(B284="Deposit",B284="Cash In"),H284,-(H284/MAX(1-I284,0.0001))))</f>
        <v/>
      </c>
      <c r="K282" s="44" t="str">
        <f aca="false">IF(J284="","",IF(ISNUMBER(K283),K283,Settings!$C$4)+J284)</f>
        <v/>
      </c>
      <c r="L282" s="45"/>
    </row>
    <row r="283" customFormat="false" ht="18" hidden="false" customHeight="true" outlineLevel="0" collapsed="false">
      <c r="A283" s="32"/>
      <c r="B283" s="32"/>
      <c r="C283" s="41"/>
      <c r="D283" s="32"/>
      <c r="E283" s="33"/>
      <c r="F283" s="42"/>
      <c r="G283" s="27" t="str">
        <f aca="false">IF(E285="","",IFERROR(VLOOKUP(E285,Settings!$A$7:$B$17,2,FALSE()),1))</f>
        <v/>
      </c>
      <c r="H283" s="43" t="str">
        <f aca="false">IF(OR(F285="",G285=""),"",F285/G285)</f>
        <v/>
      </c>
      <c r="I283" s="29" t="str">
        <f aca="false">IF(B285="","",IFERROR(VLOOKUP(B285,Settings!$E$19:$F$23,2,FALSE()),0))</f>
        <v/>
      </c>
      <c r="J283" s="43" t="str">
        <f aca="false">IF(H285="","",IF(OR(B285="Deposit",B285="Cash In"),H285,-(H285/MAX(1-I285,0.0001))))</f>
        <v/>
      </c>
      <c r="K283" s="44" t="str">
        <f aca="false">IF(J285="","",IF(ISNUMBER(K284),K284,Settings!$C$4)+J285)</f>
        <v/>
      </c>
      <c r="L283" s="45"/>
    </row>
    <row r="284" customFormat="false" ht="18" hidden="false" customHeight="true" outlineLevel="0" collapsed="false">
      <c r="A284" s="32"/>
      <c r="B284" s="32"/>
      <c r="C284" s="41"/>
      <c r="D284" s="32"/>
      <c r="E284" s="33"/>
      <c r="F284" s="42"/>
      <c r="G284" s="27" t="str">
        <f aca="false">IF(E286="","",IFERROR(VLOOKUP(E286,Settings!$A$7:$B$17,2,FALSE()),1))</f>
        <v/>
      </c>
      <c r="H284" s="43" t="str">
        <f aca="false">IF(OR(F286="",G286=""),"",F286/G286)</f>
        <v/>
      </c>
      <c r="I284" s="29" t="str">
        <f aca="false">IF(B286="","",IFERROR(VLOOKUP(B286,Settings!$E$19:$F$23,2,FALSE()),0))</f>
        <v/>
      </c>
      <c r="J284" s="43" t="str">
        <f aca="false">IF(H286="","",IF(OR(B286="Deposit",B286="Cash In"),H286,-(H286/MAX(1-I286,0.0001))))</f>
        <v/>
      </c>
      <c r="K284" s="44" t="str">
        <f aca="false">IF(J286="","",IF(ISNUMBER(K285),K285,Settings!$C$4)+J286)</f>
        <v/>
      </c>
      <c r="L284" s="45"/>
    </row>
    <row r="285" customFormat="false" ht="18" hidden="false" customHeight="true" outlineLevel="0" collapsed="false">
      <c r="A285" s="32"/>
      <c r="B285" s="32"/>
      <c r="C285" s="41"/>
      <c r="D285" s="32"/>
      <c r="E285" s="33"/>
      <c r="F285" s="42"/>
      <c r="G285" s="27" t="str">
        <f aca="false">IF(E287="","",IFERROR(VLOOKUP(E287,Settings!$A$7:$B$17,2,FALSE()),1))</f>
        <v/>
      </c>
      <c r="H285" s="43" t="str">
        <f aca="false">IF(OR(F287="",G287=""),"",F287/G287)</f>
        <v/>
      </c>
      <c r="I285" s="29" t="str">
        <f aca="false">IF(B287="","",IFERROR(VLOOKUP(B287,Settings!$E$19:$F$23,2,FALSE()),0))</f>
        <v/>
      </c>
      <c r="J285" s="43" t="str">
        <f aca="false">IF(H287="","",IF(OR(B287="Deposit",B287="Cash In"),H287,-(H287/MAX(1-I287,0.0001))))</f>
        <v/>
      </c>
      <c r="K285" s="44" t="str">
        <f aca="false">IF(J287="","",IF(ISNUMBER(K286),K286,Settings!$C$4)+J287)</f>
        <v/>
      </c>
      <c r="L285" s="45"/>
    </row>
    <row r="286" customFormat="false" ht="18" hidden="false" customHeight="true" outlineLevel="0" collapsed="false">
      <c r="A286" s="32"/>
      <c r="B286" s="32"/>
      <c r="C286" s="41"/>
      <c r="D286" s="32"/>
      <c r="E286" s="33"/>
      <c r="F286" s="42"/>
      <c r="G286" s="27" t="str">
        <f aca="false">IF(E288="","",IFERROR(VLOOKUP(E288,Settings!$A$7:$B$17,2,FALSE()),1))</f>
        <v/>
      </c>
      <c r="H286" s="43" t="str">
        <f aca="false">IF(OR(F288="",G288=""),"",F288/G288)</f>
        <v/>
      </c>
      <c r="I286" s="29" t="str">
        <f aca="false">IF(B288="","",IFERROR(VLOOKUP(B288,Settings!$E$19:$F$23,2,FALSE()),0))</f>
        <v/>
      </c>
      <c r="J286" s="43" t="str">
        <f aca="false">IF(H288="","",IF(OR(B288="Deposit",B288="Cash In"),H288,-(H288/MAX(1-I288,0.0001))))</f>
        <v/>
      </c>
      <c r="K286" s="44" t="str">
        <f aca="false">IF(J288="","",IF(ISNUMBER(K287),K287,Settings!$C$4)+J288)</f>
        <v/>
      </c>
      <c r="L286" s="45"/>
    </row>
    <row r="287" customFormat="false" ht="18" hidden="false" customHeight="true" outlineLevel="0" collapsed="false">
      <c r="A287" s="32"/>
      <c r="B287" s="32"/>
      <c r="C287" s="41"/>
      <c r="D287" s="32"/>
      <c r="E287" s="33"/>
      <c r="F287" s="42"/>
      <c r="G287" s="27" t="str">
        <f aca="false">IF(E289="","",IFERROR(VLOOKUP(E289,Settings!$A$7:$B$17,2,FALSE()),1))</f>
        <v/>
      </c>
      <c r="H287" s="43" t="str">
        <f aca="false">IF(OR(F289="",G289=""),"",F289/G289)</f>
        <v/>
      </c>
      <c r="I287" s="29" t="str">
        <f aca="false">IF(B289="","",IFERROR(VLOOKUP(B289,Settings!$E$19:$F$23,2,FALSE()),0))</f>
        <v/>
      </c>
      <c r="J287" s="43" t="str">
        <f aca="false">IF(H289="","",IF(OR(B289="Deposit",B289="Cash In"),H289,-(H289/MAX(1-I289,0.0001))))</f>
        <v/>
      </c>
      <c r="K287" s="44" t="str">
        <f aca="false">IF(J289="","",IF(ISNUMBER(K288),K288,Settings!$C$4)+J289)</f>
        <v/>
      </c>
      <c r="L287" s="45"/>
    </row>
    <row r="288" customFormat="false" ht="18" hidden="false" customHeight="true" outlineLevel="0" collapsed="false">
      <c r="A288" s="32"/>
      <c r="B288" s="32"/>
      <c r="C288" s="41"/>
      <c r="D288" s="32"/>
      <c r="E288" s="33"/>
      <c r="F288" s="42"/>
      <c r="G288" s="27" t="str">
        <f aca="false">IF(E290="","",IFERROR(VLOOKUP(E290,Settings!$A$7:$B$17,2,FALSE()),1))</f>
        <v/>
      </c>
      <c r="H288" s="43" t="str">
        <f aca="false">IF(OR(F290="",G290=""),"",F290/G290)</f>
        <v/>
      </c>
      <c r="I288" s="29" t="str">
        <f aca="false">IF(B290="","",IFERROR(VLOOKUP(B290,Settings!$E$19:$F$23,2,FALSE()),0))</f>
        <v/>
      </c>
      <c r="J288" s="43" t="str">
        <f aca="false">IF(H290="","",IF(OR(B290="Deposit",B290="Cash In"),H290,-(H290/MAX(1-I290,0.0001))))</f>
        <v/>
      </c>
      <c r="K288" s="44" t="str">
        <f aca="false">IF(J290="","",IF(ISNUMBER(K289),K289,Settings!$C$4)+J290)</f>
        <v/>
      </c>
      <c r="L288" s="45"/>
    </row>
    <row r="289" customFormat="false" ht="18" hidden="false" customHeight="true" outlineLevel="0" collapsed="false">
      <c r="A289" s="32"/>
      <c r="B289" s="32"/>
      <c r="C289" s="41"/>
      <c r="D289" s="32"/>
      <c r="E289" s="33"/>
      <c r="F289" s="42"/>
      <c r="G289" s="27" t="str">
        <f aca="false">IF(E291="","",IFERROR(VLOOKUP(E291,Settings!$A$7:$B$17,2,FALSE()),1))</f>
        <v/>
      </c>
      <c r="H289" s="43" t="str">
        <f aca="false">IF(OR(F291="",G291=""),"",F291/G291)</f>
        <v/>
      </c>
      <c r="I289" s="29" t="str">
        <f aca="false">IF(B291="","",IFERROR(VLOOKUP(B291,Settings!$E$19:$F$23,2,FALSE()),0))</f>
        <v/>
      </c>
      <c r="J289" s="43" t="str">
        <f aca="false">IF(H291="","",IF(OR(B291="Deposit",B291="Cash In"),H291,-(H291/MAX(1-I291,0.0001))))</f>
        <v/>
      </c>
      <c r="K289" s="44" t="str">
        <f aca="false">IF(J291="","",IF(ISNUMBER(K290),K290,Settings!$C$4)+J291)</f>
        <v/>
      </c>
      <c r="L289" s="45"/>
    </row>
    <row r="290" customFormat="false" ht="18" hidden="false" customHeight="true" outlineLevel="0" collapsed="false">
      <c r="A290" s="32"/>
      <c r="B290" s="32"/>
      <c r="C290" s="41"/>
      <c r="D290" s="32"/>
      <c r="E290" s="33"/>
      <c r="F290" s="42"/>
      <c r="G290" s="27" t="str">
        <f aca="false">IF(E292="","",IFERROR(VLOOKUP(E292,Settings!$A$7:$B$17,2,FALSE()),1))</f>
        <v/>
      </c>
      <c r="H290" s="43" t="str">
        <f aca="false">IF(OR(F292="",G292=""),"",F292/G292)</f>
        <v/>
      </c>
      <c r="I290" s="29" t="str">
        <f aca="false">IF(B292="","",IFERROR(VLOOKUP(B292,Settings!$E$19:$F$23,2,FALSE()),0))</f>
        <v/>
      </c>
      <c r="J290" s="43" t="str">
        <f aca="false">IF(H292="","",IF(OR(B292="Deposit",B292="Cash In"),H292,-(H292/MAX(1-I292,0.0001))))</f>
        <v/>
      </c>
      <c r="K290" s="44" t="str">
        <f aca="false">IF(J292="","",IF(ISNUMBER(K291),K291,Settings!$C$4)+J292)</f>
        <v/>
      </c>
      <c r="L290" s="45"/>
    </row>
    <row r="291" customFormat="false" ht="18" hidden="false" customHeight="true" outlineLevel="0" collapsed="false">
      <c r="A291" s="32"/>
      <c r="B291" s="32"/>
      <c r="C291" s="41"/>
      <c r="D291" s="32"/>
      <c r="E291" s="33"/>
      <c r="F291" s="42"/>
      <c r="G291" s="27" t="str">
        <f aca="false">IF(E293="","",IFERROR(VLOOKUP(E293,Settings!$A$7:$B$17,2,FALSE()),1))</f>
        <v/>
      </c>
      <c r="H291" s="43" t="str">
        <f aca="false">IF(OR(F293="",G293=""),"",F293/G293)</f>
        <v/>
      </c>
      <c r="I291" s="29" t="str">
        <f aca="false">IF(B293="","",IFERROR(VLOOKUP(B293,Settings!$E$19:$F$23,2,FALSE()),0))</f>
        <v/>
      </c>
      <c r="J291" s="43" t="str">
        <f aca="false">IF(H293="","",IF(OR(B293="Deposit",B293="Cash In"),H293,-(H293/MAX(1-I293,0.0001))))</f>
        <v/>
      </c>
      <c r="K291" s="44" t="str">
        <f aca="false">IF(J293="","",IF(ISNUMBER(K292),K292,Settings!$C$4)+J293)</f>
        <v/>
      </c>
      <c r="L291" s="45"/>
    </row>
    <row r="292" customFormat="false" ht="18" hidden="false" customHeight="true" outlineLevel="0" collapsed="false">
      <c r="A292" s="32"/>
      <c r="B292" s="32"/>
      <c r="C292" s="41"/>
      <c r="D292" s="32"/>
      <c r="E292" s="33"/>
      <c r="F292" s="42"/>
      <c r="G292" s="27" t="str">
        <f aca="false">IF(E294="","",IFERROR(VLOOKUP(E294,Settings!$A$7:$B$17,2,FALSE()),1))</f>
        <v/>
      </c>
      <c r="H292" s="43" t="str">
        <f aca="false">IF(OR(F294="",G294=""),"",F294/G294)</f>
        <v/>
      </c>
      <c r="I292" s="29" t="str">
        <f aca="false">IF(B294="","",IFERROR(VLOOKUP(B294,Settings!$E$19:$F$23,2,FALSE()),0))</f>
        <v/>
      </c>
      <c r="J292" s="43" t="str">
        <f aca="false">IF(H294="","",IF(OR(B294="Deposit",B294="Cash In"),H294,-(H294/MAX(1-I294,0.0001))))</f>
        <v/>
      </c>
      <c r="K292" s="44" t="str">
        <f aca="false">IF(J294="","",IF(ISNUMBER(K293),K293,Settings!$C$4)+J294)</f>
        <v/>
      </c>
      <c r="L292" s="45"/>
    </row>
    <row r="293" customFormat="false" ht="18" hidden="false" customHeight="true" outlineLevel="0" collapsed="false">
      <c r="A293" s="32"/>
      <c r="B293" s="32"/>
      <c r="C293" s="41"/>
      <c r="D293" s="32"/>
      <c r="E293" s="33"/>
      <c r="F293" s="42"/>
      <c r="G293" s="27" t="str">
        <f aca="false">IF(E295="","",IFERROR(VLOOKUP(E295,Settings!$A$7:$B$17,2,FALSE()),1))</f>
        <v/>
      </c>
      <c r="H293" s="43" t="str">
        <f aca="false">IF(OR(F295="",G295=""),"",F295/G295)</f>
        <v/>
      </c>
      <c r="I293" s="29" t="str">
        <f aca="false">IF(B295="","",IFERROR(VLOOKUP(B295,Settings!$E$19:$F$23,2,FALSE()),0))</f>
        <v/>
      </c>
      <c r="J293" s="43" t="str">
        <f aca="false">IF(H295="","",IF(OR(B295="Deposit",B295="Cash In"),H295,-(H295/MAX(1-I295,0.0001))))</f>
        <v/>
      </c>
      <c r="K293" s="44" t="str">
        <f aca="false">IF(J295="","",IF(ISNUMBER(K294),K294,Settings!$C$4)+J295)</f>
        <v/>
      </c>
      <c r="L293" s="45"/>
    </row>
    <row r="294" customFormat="false" ht="18" hidden="false" customHeight="true" outlineLevel="0" collapsed="false">
      <c r="A294" s="32"/>
      <c r="B294" s="32"/>
      <c r="C294" s="41"/>
      <c r="D294" s="32"/>
      <c r="E294" s="33"/>
      <c r="F294" s="42"/>
      <c r="G294" s="27" t="str">
        <f aca="false">IF(E296="","",IFERROR(VLOOKUP(E296,Settings!$A$7:$B$17,2,FALSE()),1))</f>
        <v/>
      </c>
      <c r="H294" s="43" t="str">
        <f aca="false">IF(OR(F296="",G296=""),"",F296/G296)</f>
        <v/>
      </c>
      <c r="I294" s="29" t="str">
        <f aca="false">IF(B296="","",IFERROR(VLOOKUP(B296,Settings!$E$19:$F$23,2,FALSE()),0))</f>
        <v/>
      </c>
      <c r="J294" s="43" t="str">
        <f aca="false">IF(H296="","",IF(OR(B296="Deposit",B296="Cash In"),H296,-(H296/MAX(1-I296,0.0001))))</f>
        <v/>
      </c>
      <c r="K294" s="44" t="str">
        <f aca="false">IF(J296="","",IF(ISNUMBER(K295),K295,Settings!$C$4)+J296)</f>
        <v/>
      </c>
      <c r="L294" s="45"/>
    </row>
    <row r="295" customFormat="false" ht="18" hidden="false" customHeight="true" outlineLevel="0" collapsed="false">
      <c r="A295" s="32"/>
      <c r="B295" s="32"/>
      <c r="C295" s="41"/>
      <c r="D295" s="32"/>
      <c r="E295" s="33"/>
      <c r="F295" s="42"/>
      <c r="G295" s="27" t="str">
        <f aca="false">IF(E297="","",IFERROR(VLOOKUP(E297,Settings!$A$7:$B$17,2,FALSE()),1))</f>
        <v/>
      </c>
      <c r="H295" s="43" t="str">
        <f aca="false">IF(OR(F297="",G297=""),"",F297/G297)</f>
        <v/>
      </c>
      <c r="I295" s="29" t="str">
        <f aca="false">IF(B297="","",IFERROR(VLOOKUP(B297,Settings!$E$19:$F$23,2,FALSE()),0))</f>
        <v/>
      </c>
      <c r="J295" s="43" t="str">
        <f aca="false">IF(H297="","",IF(OR(B297="Deposit",B297="Cash In"),H297,-(H297/MAX(1-I297,0.0001))))</f>
        <v/>
      </c>
      <c r="K295" s="44" t="str">
        <f aca="false">IF(J297="","",IF(ISNUMBER(K296),K296,Settings!$C$4)+J297)</f>
        <v/>
      </c>
      <c r="L295" s="45"/>
    </row>
    <row r="296" customFormat="false" ht="18" hidden="false" customHeight="true" outlineLevel="0" collapsed="false">
      <c r="A296" s="32"/>
      <c r="B296" s="32"/>
      <c r="C296" s="41"/>
      <c r="D296" s="32"/>
      <c r="E296" s="33"/>
      <c r="F296" s="42"/>
      <c r="G296" s="27" t="str">
        <f aca="false">IF(E298="","",IFERROR(VLOOKUP(E298,Settings!$A$7:$B$17,2,FALSE()),1))</f>
        <v/>
      </c>
      <c r="H296" s="43" t="str">
        <f aca="false">IF(OR(F298="",G298=""),"",F298/G298)</f>
        <v/>
      </c>
      <c r="I296" s="29" t="str">
        <f aca="false">IF(B298="","",IFERROR(VLOOKUP(B298,Settings!$E$19:$F$23,2,FALSE()),0))</f>
        <v/>
      </c>
      <c r="J296" s="43" t="str">
        <f aca="false">IF(H298="","",IF(OR(B298="Deposit",B298="Cash In"),H298,-(H298/MAX(1-I298,0.0001))))</f>
        <v/>
      </c>
      <c r="K296" s="44" t="str">
        <f aca="false">IF(J298="","",IF(ISNUMBER(K297),K297,Settings!$C$4)+J298)</f>
        <v/>
      </c>
      <c r="L296" s="45"/>
    </row>
    <row r="297" customFormat="false" ht="18" hidden="false" customHeight="true" outlineLevel="0" collapsed="false">
      <c r="A297" s="32"/>
      <c r="B297" s="32"/>
      <c r="C297" s="41"/>
      <c r="D297" s="32"/>
      <c r="E297" s="33"/>
      <c r="F297" s="42"/>
      <c r="G297" s="27" t="str">
        <f aca="false">IF(E299="","",IFERROR(VLOOKUP(E299,Settings!$A$7:$B$17,2,FALSE()),1))</f>
        <v/>
      </c>
      <c r="H297" s="43" t="str">
        <f aca="false">IF(OR(F299="",G299=""),"",F299/G299)</f>
        <v/>
      </c>
      <c r="I297" s="29" t="str">
        <f aca="false">IF(B299="","",IFERROR(VLOOKUP(B299,Settings!$E$19:$F$23,2,FALSE()),0))</f>
        <v/>
      </c>
      <c r="J297" s="43" t="str">
        <f aca="false">IF(H299="","",IF(OR(B299="Deposit",B299="Cash In"),H299,-(H299/MAX(1-I299,0.0001))))</f>
        <v/>
      </c>
      <c r="K297" s="44" t="str">
        <f aca="false">IF(J299="","",IF(ISNUMBER(K298),K298,Settings!$C$4)+J299)</f>
        <v/>
      </c>
      <c r="L297" s="45"/>
    </row>
    <row r="298" customFormat="false" ht="18" hidden="false" customHeight="true" outlineLevel="0" collapsed="false">
      <c r="A298" s="32"/>
      <c r="B298" s="32"/>
      <c r="C298" s="41"/>
      <c r="D298" s="32"/>
      <c r="E298" s="33"/>
      <c r="F298" s="42"/>
      <c r="G298" s="27" t="str">
        <f aca="false">IF(E300="","",IFERROR(VLOOKUP(E300,Settings!$A$7:$B$17,2,FALSE()),1))</f>
        <v/>
      </c>
      <c r="H298" s="43" t="str">
        <f aca="false">IF(OR(F300="",G300=""),"",F300/G300)</f>
        <v/>
      </c>
      <c r="I298" s="29" t="str">
        <f aca="false">IF(B300="","",IFERROR(VLOOKUP(B300,Settings!$E$19:$F$23,2,FALSE()),0))</f>
        <v/>
      </c>
      <c r="J298" s="43" t="str">
        <f aca="false">IF(H300="","",IF(OR(B300="Deposit",B300="Cash In"),H300,-(H300/MAX(1-I300,0.0001))))</f>
        <v/>
      </c>
      <c r="K298" s="44" t="str">
        <f aca="false">IF(J300="","",IF(ISNUMBER(K299),K299,Settings!$C$4)+J300)</f>
        <v/>
      </c>
      <c r="L298" s="45"/>
    </row>
    <row r="299" customFormat="false" ht="18" hidden="false" customHeight="true" outlineLevel="0" collapsed="false"/>
    <row r="300" customFormat="false" ht="18" hidden="false" customHeight="true" outlineLevel="0" collapsed="false"/>
  </sheetData>
  <mergeCells count="2">
    <mergeCell ref="A1:L1"/>
    <mergeCell ref="A2:L2"/>
  </mergeCells>
  <conditionalFormatting sqref="A5:F200">
    <cfRule type="expression" priority="2" aboveAverage="0" equalAverage="0" bottom="0" percent="0" rank="0" text="" dxfId="0">
      <formula>$B5="Deposit"</formula>
    </cfRule>
    <cfRule type="expression" priority="3" aboveAverage="0" equalAverage="0" bottom="0" percent="0" rank="0" text="" dxfId="1">
      <formula>$B5="Cash Out"</formula>
    </cfRule>
    <cfRule type="expression" priority="4" aboveAverage="0" equalAverage="0" bottom="0" percent="0" rank="0" text="" dxfId="2">
      <formula>$B5="Cash In"</formula>
    </cfRule>
    <cfRule type="expression" priority="5" aboveAverage="0" equalAverage="0" bottom="0" percent="0" rank="0" text="" dxfId="3">
      <formula>$B5="Payment"</formula>
    </cfRule>
  </conditionalFormatting>
  <conditionalFormatting sqref="L5:L200">
    <cfRule type="expression" priority="6" aboveAverage="0" equalAverage="0" bottom="0" percent="0" rank="0" text="" dxfId="4">
      <formula>$B5="Deposit"</formula>
    </cfRule>
    <cfRule type="expression" priority="7" aboveAverage="0" equalAverage="0" bottom="0" percent="0" rank="0" text="" dxfId="4">
      <formula>$B5="Cash Out"</formula>
    </cfRule>
    <cfRule type="expression" priority="8" aboveAverage="0" equalAverage="0" bottom="0" percent="0" rank="0" text="" dxfId="4">
      <formula>$B5="Cash In"</formula>
    </cfRule>
    <cfRule type="expression" priority="9" aboveAverage="0" equalAverage="0" bottom="0" percent="0" rank="0" text="" dxfId="4">
      <formula>$B5="Payment"</formula>
    </cfRule>
  </conditionalFormatting>
  <dataValidations count="2">
    <dataValidation allowBlank="false" errorStyle="stop" operator="between" showDropDown="false" showErrorMessage="false" showInputMessage="false" sqref="B5:B300" type="list">
      <formula1>"Deposit,Payment,Cash Out,Cash In,❓ Unknown"</formula1>
      <formula2>0</formula2>
    </dataValidation>
    <dataValidation allowBlank="false" errorStyle="stop" operator="between" showDropDown="false" showErrorMessage="false" showInputMessage="false" sqref="E5:E300" type="list">
      <formula1>"AED,CNY,USD,EUR,SGD,RUB,INR,HKD,SAR,GBP"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26" activePane="bottomLeft" state="frozen"/>
      <selection pane="topLeft" activeCell="A1" activeCellId="0" sqref="A1"/>
      <selection pane="bottomLeft" activeCell="F44" activeCellId="0" sqref="F4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32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9" min="9" style="1" width="26"/>
    <col collapsed="false" customWidth="true" hidden="false" outlineLevel="0" max="10" min="10" style="1" width="40"/>
  </cols>
  <sheetData>
    <row r="1" customFormat="false" ht="30" hidden="false" customHeight="true" outlineLevel="0" collapsed="false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162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5.5" hidden="false" customHeight="true" outlineLevel="0" collapsed="false">
      <c r="A4" s="22" t="s">
        <v>163</v>
      </c>
      <c r="B4" s="22" t="s">
        <v>164</v>
      </c>
      <c r="C4" s="22" t="s">
        <v>165</v>
      </c>
      <c r="D4" s="22" t="s">
        <v>23</v>
      </c>
      <c r="E4" s="22" t="s">
        <v>166</v>
      </c>
      <c r="F4" s="22" t="s">
        <v>167</v>
      </c>
      <c r="G4" s="22" t="s">
        <v>168</v>
      </c>
      <c r="H4" s="22" t="s">
        <v>169</v>
      </c>
      <c r="I4" s="22" t="s">
        <v>170</v>
      </c>
      <c r="J4" s="22" t="s">
        <v>30</v>
      </c>
    </row>
    <row r="5" customFormat="false" ht="27.75" hidden="false" customHeight="true" outlineLevel="0" collapsed="false">
      <c r="A5" s="24" t="s">
        <v>171</v>
      </c>
      <c r="B5" s="24" t="s">
        <v>172</v>
      </c>
      <c r="C5" s="24" t="s">
        <v>173</v>
      </c>
      <c r="D5" s="25" t="s">
        <v>35</v>
      </c>
      <c r="E5" s="26" t="n">
        <v>1507500</v>
      </c>
      <c r="F5" s="26" t="n">
        <f aca="false">IF(OR(E5="",E5="TBC"),"TBC",IFERROR(E5/VLOOKUP(D5,Settings!$A$7:$B$17,2,FALSE()),E5))</f>
        <v>410483.321987747</v>
      </c>
      <c r="G5" s="46" t="s">
        <v>174</v>
      </c>
      <c r="H5" s="24" t="s">
        <v>175</v>
      </c>
      <c r="I5" s="47" t="s">
        <v>176</v>
      </c>
      <c r="J5" s="31" t="s">
        <v>177</v>
      </c>
    </row>
    <row r="6" customFormat="false" ht="27.75" hidden="false" customHeight="true" outlineLevel="0" collapsed="false">
      <c r="A6" s="24" t="s">
        <v>178</v>
      </c>
      <c r="B6" s="24" t="s">
        <v>179</v>
      </c>
      <c r="C6" s="24" t="s">
        <v>40</v>
      </c>
      <c r="D6" s="25" t="s">
        <v>41</v>
      </c>
      <c r="E6" s="26" t="n">
        <v>74520</v>
      </c>
      <c r="F6" s="26" t="n">
        <f aca="false">IF(OR(E6="",E6="TBC"),"TBC",IFERROR(E6/VLOOKUP(D6,Settings!$A$7:$B$17,2,FALSE()),E6))</f>
        <v>10626.7197831533</v>
      </c>
      <c r="G6" s="46" t="s">
        <v>174</v>
      </c>
      <c r="H6" s="24" t="s">
        <v>37</v>
      </c>
      <c r="I6" s="47" t="s">
        <v>180</v>
      </c>
      <c r="J6" s="31" t="s">
        <v>181</v>
      </c>
    </row>
    <row r="7" customFormat="false" ht="27.75" hidden="false" customHeight="true" outlineLevel="0" collapsed="false">
      <c r="A7" s="24" t="s">
        <v>51</v>
      </c>
      <c r="B7" s="24" t="s">
        <v>182</v>
      </c>
      <c r="C7" s="24" t="s">
        <v>53</v>
      </c>
      <c r="D7" s="25" t="s">
        <v>41</v>
      </c>
      <c r="E7" s="26" t="n">
        <v>381089</v>
      </c>
      <c r="F7" s="26" t="n">
        <f aca="false">IF(OR(E7="",E7="TBC"),"TBC",IFERROR(E7/VLOOKUP(D7,Settings!$A$7:$B$17,2,FALSE()),E7))</f>
        <v>54344.1494289065</v>
      </c>
      <c r="G7" s="46" t="s">
        <v>174</v>
      </c>
      <c r="H7" s="24" t="s">
        <v>51</v>
      </c>
      <c r="I7" s="47" t="s">
        <v>183</v>
      </c>
      <c r="J7" s="31" t="s">
        <v>184</v>
      </c>
    </row>
    <row r="8" customFormat="false" ht="27.75" hidden="false" customHeight="true" outlineLevel="0" collapsed="false">
      <c r="A8" s="24" t="s">
        <v>55</v>
      </c>
      <c r="B8" s="24" t="s">
        <v>185</v>
      </c>
      <c r="C8" s="24" t="s">
        <v>40</v>
      </c>
      <c r="D8" s="25" t="s">
        <v>41</v>
      </c>
      <c r="E8" s="26" t="n">
        <v>4356737.02</v>
      </c>
      <c r="F8" s="26" t="n">
        <f aca="false">IF(OR(E8="",E8="TBC"),"TBC",IFERROR(E8/VLOOKUP(D8,Settings!$A$7:$B$17,2,FALSE()),E8))</f>
        <v>621280.50832569</v>
      </c>
      <c r="G8" s="46" t="s">
        <v>174</v>
      </c>
      <c r="H8" s="24" t="s">
        <v>55</v>
      </c>
      <c r="I8" s="47" t="s">
        <v>186</v>
      </c>
      <c r="J8" s="31" t="s">
        <v>187</v>
      </c>
    </row>
    <row r="9" customFormat="false" ht="27.75" hidden="false" customHeight="true" outlineLevel="0" collapsed="false">
      <c r="A9" s="24" t="s">
        <v>188</v>
      </c>
      <c r="B9" s="24" t="s">
        <v>189</v>
      </c>
      <c r="C9" s="24" t="s">
        <v>71</v>
      </c>
      <c r="D9" s="25" t="s">
        <v>35</v>
      </c>
      <c r="E9" s="26" t="n">
        <v>30240</v>
      </c>
      <c r="F9" s="26" t="n">
        <f aca="false">IF(OR(E9="",E9="TBC"),"TBC",IFERROR(E9/VLOOKUP(D9,Settings!$A$7:$B$17,2,FALSE()),E9))</f>
        <v>8234.17290673928</v>
      </c>
      <c r="G9" s="46" t="s">
        <v>174</v>
      </c>
      <c r="H9" s="24" t="s">
        <v>65</v>
      </c>
      <c r="I9" s="47" t="s">
        <v>190</v>
      </c>
      <c r="J9" s="31" t="s">
        <v>191</v>
      </c>
    </row>
    <row r="10" customFormat="false" ht="27.75" hidden="false" customHeight="true" outlineLevel="0" collapsed="false">
      <c r="A10" s="24" t="s">
        <v>188</v>
      </c>
      <c r="B10" s="24" t="s">
        <v>192</v>
      </c>
      <c r="C10" s="24" t="s">
        <v>74</v>
      </c>
      <c r="D10" s="25" t="s">
        <v>35</v>
      </c>
      <c r="E10" s="26" t="n">
        <v>1890</v>
      </c>
      <c r="F10" s="26" t="n">
        <f aca="false">IF(OR(E10="",E10="TBC"),"TBC",IFERROR(E10/VLOOKUP(D10,Settings!$A$7:$B$17,2,FALSE()),E10))</f>
        <v>514.635806671205</v>
      </c>
      <c r="G10" s="46" t="s">
        <v>174</v>
      </c>
      <c r="H10" s="24" t="s">
        <v>65</v>
      </c>
      <c r="I10" s="47" t="s">
        <v>193</v>
      </c>
      <c r="J10" s="31" t="s">
        <v>194</v>
      </c>
    </row>
    <row r="11" customFormat="false" ht="27.75" hidden="false" customHeight="true" outlineLevel="0" collapsed="false">
      <c r="A11" s="24" t="s">
        <v>188</v>
      </c>
      <c r="B11" s="24" t="s">
        <v>195</v>
      </c>
      <c r="C11" s="24" t="s">
        <v>74</v>
      </c>
      <c r="D11" s="25" t="s">
        <v>35</v>
      </c>
      <c r="E11" s="26" t="n">
        <v>27858.6</v>
      </c>
      <c r="F11" s="26" t="n">
        <f aca="false">IF(OR(E11="",E11="TBC"),"TBC",IFERROR(E11/VLOOKUP(D11,Settings!$A$7:$B$17,2,FALSE()),E11))</f>
        <v>7585.73179033356</v>
      </c>
      <c r="G11" s="46" t="s">
        <v>174</v>
      </c>
      <c r="H11" s="24" t="s">
        <v>65</v>
      </c>
      <c r="I11" s="47" t="s">
        <v>196</v>
      </c>
      <c r="J11" s="31" t="s">
        <v>197</v>
      </c>
    </row>
    <row r="12" customFormat="false" ht="27.75" hidden="false" customHeight="true" outlineLevel="0" collapsed="false">
      <c r="A12" s="24" t="s">
        <v>65</v>
      </c>
      <c r="B12" s="24" t="s">
        <v>198</v>
      </c>
      <c r="C12" s="24" t="s">
        <v>80</v>
      </c>
      <c r="D12" s="25" t="s">
        <v>35</v>
      </c>
      <c r="E12" s="26" t="n">
        <v>283413.37</v>
      </c>
      <c r="F12" s="26" t="n">
        <f aca="false">IF(OR(E12="",E12="TBC"),"TBC",IFERROR(E12/VLOOKUP(D12,Settings!$A$7:$B$17,2,FALSE()),E12))</f>
        <v>77171.7821647379</v>
      </c>
      <c r="G12" s="46" t="s">
        <v>174</v>
      </c>
      <c r="H12" s="24" t="s">
        <v>78</v>
      </c>
      <c r="I12" s="47" t="s">
        <v>199</v>
      </c>
      <c r="J12" s="31" t="s">
        <v>200</v>
      </c>
    </row>
    <row r="13" customFormat="false" ht="27.75" hidden="false" customHeight="true" outlineLevel="0" collapsed="false">
      <c r="A13" s="24" t="s">
        <v>201</v>
      </c>
      <c r="B13" s="24" t="s">
        <v>202</v>
      </c>
      <c r="C13" s="24" t="s">
        <v>83</v>
      </c>
      <c r="D13" s="25" t="s">
        <v>35</v>
      </c>
      <c r="E13" s="26" t="n">
        <v>9082.5</v>
      </c>
      <c r="F13" s="26" t="n">
        <f aca="false">IF(OR(E13="",E13="TBC"),"TBC",IFERROR(E13/VLOOKUP(D13,Settings!$A$7:$B$17,2,FALSE()),E13))</f>
        <v>2473.11095983662</v>
      </c>
      <c r="G13" s="46" t="s">
        <v>174</v>
      </c>
      <c r="H13" s="24" t="s">
        <v>78</v>
      </c>
      <c r="I13" s="47" t="s">
        <v>203</v>
      </c>
      <c r="J13" s="31" t="s">
        <v>204</v>
      </c>
    </row>
    <row r="14" customFormat="false" ht="27.75" hidden="false" customHeight="true" outlineLevel="0" collapsed="false">
      <c r="A14" s="24" t="s">
        <v>201</v>
      </c>
      <c r="B14" s="24" t="s">
        <v>205</v>
      </c>
      <c r="C14" s="24" t="s">
        <v>83</v>
      </c>
      <c r="D14" s="25" t="s">
        <v>35</v>
      </c>
      <c r="E14" s="26" t="n">
        <v>4160</v>
      </c>
      <c r="F14" s="26" t="n">
        <f aca="false">IF(OR(E14="",E14="TBC"),"TBC",IFERROR(E14/VLOOKUP(D14,Settings!$A$7:$B$17,2,FALSE()),E14))</f>
        <v>1132.74336283186</v>
      </c>
      <c r="G14" s="46" t="s">
        <v>174</v>
      </c>
      <c r="H14" s="24" t="s">
        <v>78</v>
      </c>
      <c r="I14" s="47" t="s">
        <v>206</v>
      </c>
      <c r="J14" s="31" t="s">
        <v>207</v>
      </c>
    </row>
    <row r="15" customFormat="false" ht="27.75" hidden="false" customHeight="true" outlineLevel="0" collapsed="false">
      <c r="A15" s="24" t="s">
        <v>208</v>
      </c>
      <c r="B15" s="24" t="s">
        <v>209</v>
      </c>
      <c r="C15" s="24" t="s">
        <v>95</v>
      </c>
      <c r="D15" s="25" t="s">
        <v>96</v>
      </c>
      <c r="E15" s="26" t="n">
        <v>310.9</v>
      </c>
      <c r="F15" s="26" t="n">
        <f aca="false">IF(OR(E15="",E15="TBC"),"TBC",IFERROR(E15/VLOOKUP(D15,Settings!$A$7:$B$17,2,FALSE()),E15))</f>
        <v>248.025528520144</v>
      </c>
      <c r="G15" s="46" t="s">
        <v>174</v>
      </c>
      <c r="H15" s="24" t="s">
        <v>87</v>
      </c>
      <c r="I15" s="47" t="s">
        <v>210</v>
      </c>
      <c r="J15" s="31" t="s">
        <v>211</v>
      </c>
    </row>
    <row r="16" customFormat="false" ht="27.75" hidden="false" customHeight="true" outlineLevel="0" collapsed="false">
      <c r="A16" s="24" t="s">
        <v>208</v>
      </c>
      <c r="B16" s="24" t="s">
        <v>212</v>
      </c>
      <c r="C16" s="24" t="s">
        <v>95</v>
      </c>
      <c r="D16" s="25" t="s">
        <v>96</v>
      </c>
      <c r="E16" s="26" t="n">
        <v>310.9</v>
      </c>
      <c r="F16" s="26" t="n">
        <f aca="false">IF(OR(E16="",E16="TBC"),"TBC",IFERROR(E16/VLOOKUP(D16,Settings!$A$7:$B$17,2,FALSE()),E16))</f>
        <v>248.025528520144</v>
      </c>
      <c r="G16" s="46" t="s">
        <v>174</v>
      </c>
      <c r="H16" s="24" t="s">
        <v>87</v>
      </c>
      <c r="I16" s="47" t="s">
        <v>210</v>
      </c>
      <c r="J16" s="31" t="s">
        <v>213</v>
      </c>
    </row>
    <row r="17" customFormat="false" ht="27.75" hidden="false" customHeight="true" outlineLevel="0" collapsed="false">
      <c r="A17" s="24" t="s">
        <v>208</v>
      </c>
      <c r="B17" s="24" t="s">
        <v>214</v>
      </c>
      <c r="C17" s="24" t="s">
        <v>95</v>
      </c>
      <c r="D17" s="25" t="s">
        <v>96</v>
      </c>
      <c r="E17" s="26" t="n">
        <v>310.9</v>
      </c>
      <c r="F17" s="26" t="n">
        <f aca="false">IF(OR(E17="",E17="TBC"),"TBC",IFERROR(E17/VLOOKUP(D17,Settings!$A$7:$B$17,2,FALSE()),E17))</f>
        <v>248.025528520144</v>
      </c>
      <c r="G17" s="46" t="s">
        <v>174</v>
      </c>
      <c r="H17" s="24" t="s">
        <v>87</v>
      </c>
      <c r="I17" s="47" t="s">
        <v>210</v>
      </c>
      <c r="J17" s="31" t="s">
        <v>215</v>
      </c>
    </row>
    <row r="18" customFormat="false" ht="27.75" hidden="false" customHeight="true" outlineLevel="0" collapsed="false">
      <c r="A18" s="24" t="s">
        <v>208</v>
      </c>
      <c r="B18" s="24" t="s">
        <v>216</v>
      </c>
      <c r="C18" s="24" t="s">
        <v>92</v>
      </c>
      <c r="D18" s="25" t="s">
        <v>35</v>
      </c>
      <c r="E18" s="26" t="n">
        <v>2350</v>
      </c>
      <c r="F18" s="26" t="n">
        <f aca="false">IF(OR(E18="",E18="TBC"),"TBC",IFERROR(E18/VLOOKUP(D18,Settings!$A$7:$B$17,2,FALSE()),E18))</f>
        <v>639.891082368959</v>
      </c>
      <c r="G18" s="46" t="s">
        <v>174</v>
      </c>
      <c r="H18" s="24" t="s">
        <v>87</v>
      </c>
      <c r="I18" s="47" t="s">
        <v>217</v>
      </c>
      <c r="J18" s="31" t="s">
        <v>218</v>
      </c>
    </row>
    <row r="19" customFormat="false" ht="27.75" hidden="false" customHeight="true" outlineLevel="0" collapsed="false">
      <c r="A19" s="24" t="s">
        <v>219</v>
      </c>
      <c r="B19" s="24" t="s">
        <v>220</v>
      </c>
      <c r="C19" s="24" t="s">
        <v>89</v>
      </c>
      <c r="D19" s="25" t="s">
        <v>35</v>
      </c>
      <c r="E19" s="26" t="n">
        <v>5000</v>
      </c>
      <c r="F19" s="26" t="n">
        <f aca="false">IF(OR(E19="",E19="TBC"),"TBC",IFERROR(E19/VLOOKUP(D19,Settings!$A$7:$B$17,2,FALSE()),E19))</f>
        <v>1361.47038801906</v>
      </c>
      <c r="G19" s="46" t="s">
        <v>174</v>
      </c>
      <c r="H19" s="24" t="s">
        <v>87</v>
      </c>
      <c r="I19" s="47" t="s">
        <v>221</v>
      </c>
      <c r="J19" s="31" t="s">
        <v>222</v>
      </c>
    </row>
    <row r="20" customFormat="false" ht="27.75" hidden="false" customHeight="true" outlineLevel="0" collapsed="false">
      <c r="A20" s="24" t="s">
        <v>87</v>
      </c>
      <c r="B20" s="24" t="s">
        <v>223</v>
      </c>
      <c r="C20" s="24" t="s">
        <v>102</v>
      </c>
      <c r="D20" s="25" t="s">
        <v>35</v>
      </c>
      <c r="E20" s="26" t="n">
        <v>2121212.17</v>
      </c>
      <c r="F20" s="26" t="n">
        <f aca="false">IF(OR(E20="",E20="TBC"),"TBC",IFERROR(E20/VLOOKUP(D20,Settings!$A$7:$B$17,2,FALSE()),E20))</f>
        <v>577593.511232131</v>
      </c>
      <c r="G20" s="46" t="s">
        <v>174</v>
      </c>
      <c r="H20" s="24" t="s">
        <v>100</v>
      </c>
      <c r="I20" s="47" t="s">
        <v>224</v>
      </c>
      <c r="J20" s="31" t="s">
        <v>225</v>
      </c>
    </row>
    <row r="21" customFormat="false" ht="27.75" hidden="false" customHeight="true" outlineLevel="0" collapsed="false">
      <c r="A21" s="24" t="s">
        <v>226</v>
      </c>
      <c r="B21" s="24" t="s">
        <v>227</v>
      </c>
      <c r="C21" s="24" t="s">
        <v>83</v>
      </c>
      <c r="D21" s="25" t="s">
        <v>35</v>
      </c>
      <c r="E21" s="26" t="n">
        <v>55453.14</v>
      </c>
      <c r="F21" s="26" t="n">
        <f aca="false">IF(OR(E21="",E21="TBC"),"TBC",IFERROR(E21/VLOOKUP(D21,Settings!$A$7:$B$17,2,FALSE()),E21))</f>
        <v>15099.5616065351</v>
      </c>
      <c r="G21" s="46" t="s">
        <v>174</v>
      </c>
      <c r="H21" s="24" t="s">
        <v>111</v>
      </c>
      <c r="I21" s="47" t="s">
        <v>228</v>
      </c>
      <c r="J21" s="31" t="s">
        <v>229</v>
      </c>
    </row>
    <row r="22" customFormat="false" ht="27.75" hidden="false" customHeight="true" outlineLevel="0" collapsed="false">
      <c r="A22" s="24" t="s">
        <v>108</v>
      </c>
      <c r="B22" s="24" t="s">
        <v>230</v>
      </c>
      <c r="C22" s="24" t="s">
        <v>231</v>
      </c>
      <c r="D22" s="25" t="s">
        <v>41</v>
      </c>
      <c r="E22" s="26" t="n">
        <v>496460.13</v>
      </c>
      <c r="F22" s="26" t="n">
        <f aca="false">IF(OR(E22="",E22="TBC"),"TBC",IFERROR(E22/VLOOKUP(D22,Settings!$A$7:$B$17,2,FALSE()),E22))</f>
        <v>70796.3323271319</v>
      </c>
      <c r="G22" s="46" t="s">
        <v>174</v>
      </c>
      <c r="H22" s="24" t="s">
        <v>114</v>
      </c>
      <c r="I22" s="47" t="s">
        <v>232</v>
      </c>
      <c r="J22" s="31" t="s">
        <v>233</v>
      </c>
    </row>
    <row r="23" customFormat="false" ht="27.75" hidden="false" customHeight="true" outlineLevel="0" collapsed="false">
      <c r="A23" s="24" t="s">
        <v>234</v>
      </c>
      <c r="B23" s="24" t="s">
        <v>235</v>
      </c>
      <c r="C23" s="24" t="s">
        <v>119</v>
      </c>
      <c r="D23" s="25" t="s">
        <v>120</v>
      </c>
      <c r="E23" s="26" t="n">
        <v>2330</v>
      </c>
      <c r="F23" s="26" t="n">
        <f aca="false">IF(OR(E23="",E23="TBC"),"TBC",IFERROR(E23/VLOOKUP(D23,Settings!$A$7:$B$17,2,FALSE()),E23))</f>
        <v>2330</v>
      </c>
      <c r="G23" s="46" t="s">
        <v>174</v>
      </c>
      <c r="H23" s="24" t="s">
        <v>114</v>
      </c>
      <c r="I23" s="47" t="s">
        <v>236</v>
      </c>
      <c r="J23" s="31" t="s">
        <v>237</v>
      </c>
    </row>
    <row r="24" customFormat="false" ht="27.75" hidden="false" customHeight="true" outlineLevel="0" collapsed="false">
      <c r="A24" s="48" t="s">
        <v>122</v>
      </c>
      <c r="B24" s="48" t="s">
        <v>238</v>
      </c>
      <c r="C24" s="48" t="s">
        <v>239</v>
      </c>
      <c r="D24" s="49" t="s">
        <v>120</v>
      </c>
      <c r="E24" s="50" t="n">
        <v>14280.54</v>
      </c>
      <c r="F24" s="50" t="n">
        <f aca="false">IF(OR(E24="",E24="TBC"),"TBC",IFERROR(E24/VLOOKUP(D24,Settings!$A$7:$B$17,2,FALSE()),E24))</f>
        <v>14280.54</v>
      </c>
      <c r="G24" s="51" t="s">
        <v>240</v>
      </c>
      <c r="H24" s="48"/>
      <c r="I24" s="52"/>
      <c r="J24" s="31" t="s">
        <v>241</v>
      </c>
    </row>
    <row r="25" customFormat="false" ht="27.75" hidden="false" customHeight="true" outlineLevel="0" collapsed="false">
      <c r="A25" s="24" t="s">
        <v>242</v>
      </c>
      <c r="B25" s="24" t="s">
        <v>243</v>
      </c>
      <c r="C25" s="24" t="s">
        <v>95</v>
      </c>
      <c r="D25" s="25" t="s">
        <v>96</v>
      </c>
      <c r="E25" s="26" t="n">
        <v>1150</v>
      </c>
      <c r="F25" s="26" t="n">
        <f aca="false">IF(OR(E25="",E25="TBC"),"TBC",IFERROR(E25/VLOOKUP(D25,Settings!$A$7:$B$17,2,FALSE()),E25))</f>
        <v>917.43119266055</v>
      </c>
      <c r="G25" s="46" t="s">
        <v>174</v>
      </c>
      <c r="H25" s="24" t="s">
        <v>128</v>
      </c>
      <c r="I25" s="47" t="s">
        <v>244</v>
      </c>
      <c r="J25" s="31" t="s">
        <v>245</v>
      </c>
    </row>
    <row r="26" customFormat="false" ht="27.75" hidden="false" customHeight="true" outlineLevel="0" collapsed="false">
      <c r="A26" s="24" t="s">
        <v>242</v>
      </c>
      <c r="B26" s="24" t="s">
        <v>246</v>
      </c>
      <c r="C26" s="24" t="s">
        <v>95</v>
      </c>
      <c r="D26" s="25" t="s">
        <v>96</v>
      </c>
      <c r="E26" s="26" t="n">
        <v>776.2</v>
      </c>
      <c r="F26" s="26" t="n">
        <f aca="false">IF(OR(E26="",E26="TBC"),"TBC",IFERROR(E26/VLOOKUP(D26,Settings!$A$7:$B$17,2,FALSE()),E26))</f>
        <v>619.226166733147</v>
      </c>
      <c r="G26" s="46" t="s">
        <v>174</v>
      </c>
      <c r="H26" s="24" t="s">
        <v>128</v>
      </c>
      <c r="I26" s="47" t="s">
        <v>244</v>
      </c>
      <c r="J26" s="31" t="s">
        <v>247</v>
      </c>
    </row>
    <row r="27" customFormat="false" ht="27.75" hidden="false" customHeight="true" outlineLevel="0" collapsed="false">
      <c r="A27" s="24" t="s">
        <v>242</v>
      </c>
      <c r="B27" s="24" t="s">
        <v>248</v>
      </c>
      <c r="C27" s="24" t="s">
        <v>95</v>
      </c>
      <c r="D27" s="25" t="s">
        <v>96</v>
      </c>
      <c r="E27" s="26" t="n">
        <v>703.1</v>
      </c>
      <c r="F27" s="26" t="n">
        <f aca="false">IF(OR(E27="",E27="TBC"),"TBC",IFERROR(E27/VLOOKUP(D27,Settings!$A$7:$B$17,2,FALSE()),E27))</f>
        <v>560.909453530116</v>
      </c>
      <c r="G27" s="46" t="s">
        <v>174</v>
      </c>
      <c r="H27" s="24" t="s">
        <v>128</v>
      </c>
      <c r="I27" s="47" t="s">
        <v>244</v>
      </c>
      <c r="J27" s="31" t="s">
        <v>249</v>
      </c>
    </row>
    <row r="28" customFormat="false" ht="27.75" hidden="false" customHeight="true" outlineLevel="0" collapsed="false">
      <c r="A28" s="24" t="s">
        <v>242</v>
      </c>
      <c r="B28" s="24" t="s">
        <v>250</v>
      </c>
      <c r="C28" s="24" t="s">
        <v>95</v>
      </c>
      <c r="D28" s="25" t="s">
        <v>96</v>
      </c>
      <c r="E28" s="26" t="n">
        <v>643.1</v>
      </c>
      <c r="F28" s="26" t="n">
        <f aca="false">IF(OR(E28="",E28="TBC"),"TBC",IFERROR(E28/VLOOKUP(D28,Settings!$A$7:$B$17,2,FALSE()),E28))</f>
        <v>513.04347826087</v>
      </c>
      <c r="G28" s="46" t="s">
        <v>174</v>
      </c>
      <c r="H28" s="24" t="s">
        <v>128</v>
      </c>
      <c r="I28" s="47" t="s">
        <v>244</v>
      </c>
      <c r="J28" s="31" t="s">
        <v>251</v>
      </c>
    </row>
    <row r="29" customFormat="false" ht="27.75" hidden="false" customHeight="true" outlineLevel="0" collapsed="false">
      <c r="A29" s="24" t="s">
        <v>242</v>
      </c>
      <c r="B29" s="24" t="s">
        <v>252</v>
      </c>
      <c r="C29" s="24" t="s">
        <v>95</v>
      </c>
      <c r="D29" s="25" t="s">
        <v>96</v>
      </c>
      <c r="E29" s="26" t="n">
        <v>2913.05</v>
      </c>
      <c r="F29" s="26" t="n">
        <f aca="false">IF(OR(E29="",E29="TBC"),"TBC",IFERROR(E29/VLOOKUP(D29,Settings!$A$7:$B$17,2,FALSE()),E29))</f>
        <v>2323.93298763462</v>
      </c>
      <c r="G29" s="46" t="s">
        <v>174</v>
      </c>
      <c r="H29" s="24" t="s">
        <v>128</v>
      </c>
      <c r="I29" s="47" t="s">
        <v>244</v>
      </c>
      <c r="J29" s="31" t="s">
        <v>253</v>
      </c>
    </row>
    <row r="30" customFormat="false" ht="27.75" hidden="false" customHeight="true" outlineLevel="0" collapsed="false">
      <c r="A30" s="24" t="s">
        <v>242</v>
      </c>
      <c r="B30" s="24" t="s">
        <v>254</v>
      </c>
      <c r="C30" s="24" t="s">
        <v>255</v>
      </c>
      <c r="D30" s="25" t="s">
        <v>133</v>
      </c>
      <c r="E30" s="26" t="n">
        <v>2800</v>
      </c>
      <c r="F30" s="26" t="n">
        <f aca="false">IF(OR(E30="",E30="TBC"),"TBC",IFERROR(E30/VLOOKUP(D30,Settings!$A$7:$B$17,2,FALSE()),E30))</f>
        <v>3319.8956604221</v>
      </c>
      <c r="G30" s="46" t="s">
        <v>174</v>
      </c>
      <c r="H30" s="24" t="s">
        <v>128</v>
      </c>
      <c r="I30" s="47" t="s">
        <v>256</v>
      </c>
      <c r="J30" s="31" t="s">
        <v>257</v>
      </c>
    </row>
    <row r="31" customFormat="false" ht="27.75" hidden="false" customHeight="true" outlineLevel="0" collapsed="false">
      <c r="A31" s="24" t="s">
        <v>258</v>
      </c>
      <c r="B31" s="24" t="s">
        <v>259</v>
      </c>
      <c r="C31" s="24" t="s">
        <v>146</v>
      </c>
      <c r="D31" s="25" t="s">
        <v>35</v>
      </c>
      <c r="E31" s="26" t="n">
        <v>86520</v>
      </c>
      <c r="F31" s="26" t="n">
        <f aca="false">IF(OR(E31="",E31="TBC"),"TBC",IFERROR(E31/VLOOKUP(D31,Settings!$A$7:$B$17,2,FALSE()),E31))</f>
        <v>23558.8835942818</v>
      </c>
      <c r="G31" s="46" t="s">
        <v>174</v>
      </c>
      <c r="H31" s="24" t="s">
        <v>144</v>
      </c>
      <c r="I31" s="47" t="s">
        <v>260</v>
      </c>
      <c r="J31" s="31" t="s">
        <v>261</v>
      </c>
    </row>
    <row r="32" customFormat="false" ht="27.75" hidden="false" customHeight="true" outlineLevel="0" collapsed="false">
      <c r="A32" s="24" t="s">
        <v>258</v>
      </c>
      <c r="B32" s="24" t="s">
        <v>262</v>
      </c>
      <c r="C32" s="24" t="s">
        <v>146</v>
      </c>
      <c r="D32" s="25" t="s">
        <v>35</v>
      </c>
      <c r="E32" s="26" t="n">
        <v>66412.5</v>
      </c>
      <c r="F32" s="26" t="n">
        <f aca="false">IF(OR(E32="",E32="TBC"),"TBC",IFERROR(E32/VLOOKUP(D32,Settings!$A$7:$B$17,2,FALSE()),E32))</f>
        <v>18083.7304288632</v>
      </c>
      <c r="G32" s="46" t="s">
        <v>174</v>
      </c>
      <c r="H32" s="24" t="s">
        <v>144</v>
      </c>
      <c r="I32" s="47" t="s">
        <v>263</v>
      </c>
      <c r="J32" s="31" t="s">
        <v>264</v>
      </c>
    </row>
    <row r="33" customFormat="false" ht="27.75" hidden="false" customHeight="true" outlineLevel="0" collapsed="false">
      <c r="A33" s="24" t="s">
        <v>141</v>
      </c>
      <c r="B33" s="24" t="s">
        <v>265</v>
      </c>
      <c r="C33" s="24" t="s">
        <v>146</v>
      </c>
      <c r="D33" s="25" t="s">
        <v>35</v>
      </c>
      <c r="E33" s="26" t="n">
        <v>13650</v>
      </c>
      <c r="F33" s="26" t="n">
        <f aca="false">IF(OR(E33="",E33="TBC"),"TBC",IFERROR(E33/VLOOKUP(D33,Settings!$A$7:$B$17,2,FALSE()),E33))</f>
        <v>3716.81415929204</v>
      </c>
      <c r="G33" s="46" t="s">
        <v>174</v>
      </c>
      <c r="H33" s="24" t="s">
        <v>144</v>
      </c>
      <c r="I33" s="47" t="s">
        <v>266</v>
      </c>
      <c r="J33" s="31" t="s">
        <v>267</v>
      </c>
    </row>
    <row r="34" customFormat="false" ht="27.75" hidden="false" customHeight="true" outlineLevel="0" collapsed="false">
      <c r="A34" s="48" t="s">
        <v>268</v>
      </c>
      <c r="B34" s="48" t="s">
        <v>269</v>
      </c>
      <c r="C34" s="48" t="s">
        <v>270</v>
      </c>
      <c r="D34" s="49" t="s">
        <v>35</v>
      </c>
      <c r="E34" s="50" t="n">
        <v>197334.74</v>
      </c>
      <c r="F34" s="50" t="n">
        <f aca="false">IF(OR(E34="",E34="TBC"),"TBC",IFERROR(E34/VLOOKUP(D34,Settings!$A$7:$B$17,2,FALSE()),E34))</f>
        <v>53733.0810074881</v>
      </c>
      <c r="G34" s="51" t="s">
        <v>240</v>
      </c>
      <c r="H34" s="48"/>
      <c r="I34" s="52"/>
      <c r="J34" s="31" t="s">
        <v>271</v>
      </c>
    </row>
    <row r="35" customFormat="false" ht="27.75" hidden="false" customHeight="true" outlineLevel="0" collapsed="false">
      <c r="A35" s="48" t="s">
        <v>268</v>
      </c>
      <c r="B35" s="48" t="s">
        <v>272</v>
      </c>
      <c r="C35" s="48" t="s">
        <v>273</v>
      </c>
      <c r="D35" s="49" t="s">
        <v>35</v>
      </c>
      <c r="E35" s="50" t="n">
        <v>17799.36</v>
      </c>
      <c r="F35" s="50" t="n">
        <f aca="false">IF(OR(E35="",E35="TBC"),"TBC",IFERROR(E35/VLOOKUP(D35,Settings!$A$7:$B$17,2,FALSE()),E35))</f>
        <v>4846.66031313819</v>
      </c>
      <c r="G35" s="51" t="s">
        <v>240</v>
      </c>
      <c r="H35" s="48"/>
      <c r="I35" s="52"/>
      <c r="J35" s="31" t="s">
        <v>274</v>
      </c>
    </row>
    <row r="36" customFormat="false" ht="27.75" hidden="false" customHeight="true" outlineLevel="0" collapsed="false">
      <c r="A36" s="48" t="s">
        <v>268</v>
      </c>
      <c r="B36" s="48" t="s">
        <v>275</v>
      </c>
      <c r="C36" s="48" t="s">
        <v>276</v>
      </c>
      <c r="D36" s="49" t="s">
        <v>35</v>
      </c>
      <c r="E36" s="50" t="n">
        <v>14988.6</v>
      </c>
      <c r="F36" s="50" t="n">
        <f aca="false">IF(OR(E36="",E36="TBC"),"TBC",IFERROR(E36/VLOOKUP(D36,Settings!$A$7:$B$17,2,FALSE()),E36))</f>
        <v>4081.3070115725</v>
      </c>
      <c r="G36" s="51" t="s">
        <v>240</v>
      </c>
      <c r="H36" s="48"/>
      <c r="I36" s="52"/>
      <c r="J36" s="31"/>
    </row>
    <row r="37" customFormat="false" ht="27.75" hidden="false" customHeight="true" outlineLevel="0" collapsed="false">
      <c r="A37" s="48" t="s">
        <v>268</v>
      </c>
      <c r="B37" s="48" t="s">
        <v>277</v>
      </c>
      <c r="C37" s="48" t="s">
        <v>80</v>
      </c>
      <c r="D37" s="49" t="s">
        <v>35</v>
      </c>
      <c r="E37" s="50" t="n">
        <v>13865.24</v>
      </c>
      <c r="F37" s="50" t="n">
        <f aca="false">IF(OR(E37="",E37="TBC"),"TBC",IFERROR(E37/VLOOKUP(D37,Settings!$A$7:$B$17,2,FALSE()),E37))</f>
        <v>3775.42273655548</v>
      </c>
      <c r="G37" s="51" t="s">
        <v>240</v>
      </c>
      <c r="H37" s="48"/>
      <c r="I37" s="52"/>
      <c r="J37" s="31" t="s">
        <v>278</v>
      </c>
    </row>
    <row r="38" customFormat="false" ht="27.75" hidden="false" customHeight="true" outlineLevel="0" collapsed="false">
      <c r="A38" s="48" t="s">
        <v>268</v>
      </c>
      <c r="B38" s="48" t="s">
        <v>279</v>
      </c>
      <c r="C38" s="48" t="s">
        <v>280</v>
      </c>
      <c r="D38" s="49" t="s">
        <v>35</v>
      </c>
      <c r="E38" s="50" t="n">
        <v>242022.05</v>
      </c>
      <c r="F38" s="50" t="n">
        <f aca="false">IF(OR(E38="",E38="TBC"),"TBC",IFERROR(E38/VLOOKUP(D38,Settings!$A$7:$B$17,2,FALSE()),E38))</f>
        <v>65901.1708645337</v>
      </c>
      <c r="G38" s="51" t="s">
        <v>240</v>
      </c>
      <c r="H38" s="48"/>
      <c r="I38" s="52"/>
      <c r="J38" s="31" t="s">
        <v>281</v>
      </c>
    </row>
    <row r="39" customFormat="false" ht="27.75" hidden="false" customHeight="true" outlineLevel="0" collapsed="false">
      <c r="A39" s="48" t="s">
        <v>268</v>
      </c>
      <c r="B39" s="48" t="s">
        <v>282</v>
      </c>
      <c r="C39" s="48" t="s">
        <v>283</v>
      </c>
      <c r="D39" s="49" t="s">
        <v>120</v>
      </c>
      <c r="E39" s="50" t="n">
        <v>6037.5</v>
      </c>
      <c r="F39" s="50" t="n">
        <f aca="false">IF(OR(E39="",E39="TBC"),"TBC",IFERROR(E39/VLOOKUP(D39,Settings!$A$7:$B$17,2,FALSE()),E39))</f>
        <v>6037.5</v>
      </c>
      <c r="G39" s="51" t="s">
        <v>240</v>
      </c>
      <c r="H39" s="48"/>
      <c r="I39" s="52"/>
      <c r="J39" s="31" t="s">
        <v>284</v>
      </c>
    </row>
    <row r="40" customFormat="false" ht="27.75" hidden="false" customHeight="true" outlineLevel="0" collapsed="false">
      <c r="A40" s="48" t="s">
        <v>268</v>
      </c>
      <c r="B40" s="48" t="s">
        <v>285</v>
      </c>
      <c r="C40" s="48" t="s">
        <v>286</v>
      </c>
      <c r="D40" s="49" t="s">
        <v>35</v>
      </c>
      <c r="E40" s="50" t="n">
        <v>8032.5</v>
      </c>
      <c r="F40" s="50" t="n">
        <f aca="false">IF(OR(E40="",E40="TBC"),"TBC",IFERROR(E40/VLOOKUP(D40,Settings!$A$7:$B$17,2,FALSE()),E40))</f>
        <v>2187.20217835262</v>
      </c>
      <c r="G40" s="51" t="s">
        <v>240</v>
      </c>
      <c r="H40" s="48"/>
      <c r="I40" s="52"/>
      <c r="J40" s="31" t="s">
        <v>287</v>
      </c>
    </row>
    <row r="41" customFormat="false" ht="27.75" hidden="false" customHeight="true" outlineLevel="0" collapsed="false">
      <c r="A41" s="48" t="s">
        <v>268</v>
      </c>
      <c r="B41" s="48" t="s">
        <v>288</v>
      </c>
      <c r="C41" s="48" t="s">
        <v>289</v>
      </c>
      <c r="D41" s="49" t="s">
        <v>35</v>
      </c>
      <c r="E41" s="50" t="n">
        <v>30240</v>
      </c>
      <c r="F41" s="50" t="n">
        <f aca="false">IF(OR(E41="",E41="TBC"),"TBC",IFERROR(E41/VLOOKUP(D41,Settings!$A$7:$B$17,2,FALSE()),E41))</f>
        <v>8234.17290673928</v>
      </c>
      <c r="G41" s="51" t="s">
        <v>240</v>
      </c>
      <c r="H41" s="48"/>
      <c r="I41" s="52"/>
      <c r="J41" s="31" t="s">
        <v>290</v>
      </c>
    </row>
    <row r="42" customFormat="false" ht="27.75" hidden="false" customHeight="true" outlineLevel="0" collapsed="false">
      <c r="A42" s="48" t="s">
        <v>144</v>
      </c>
      <c r="B42" s="48" t="s">
        <v>291</v>
      </c>
      <c r="C42" s="48" t="s">
        <v>292</v>
      </c>
      <c r="D42" s="49" t="s">
        <v>120</v>
      </c>
      <c r="E42" s="50" t="n">
        <v>19024.13</v>
      </c>
      <c r="F42" s="50" t="n">
        <f aca="false">IF(OR(E42="",E42="TBC"),"TBC",IFERROR(E42/VLOOKUP(D42,Settings!$A$7:$B$17,2,FALSE()),E42))</f>
        <v>19024.13</v>
      </c>
      <c r="G42" s="51" t="s">
        <v>240</v>
      </c>
      <c r="H42" s="48"/>
      <c r="I42" s="52"/>
      <c r="J42" s="31" t="s">
        <v>293</v>
      </c>
    </row>
    <row r="43" customFormat="false" ht="27.75" hidden="false" customHeight="true" outlineLevel="0" collapsed="false">
      <c r="A43" s="48" t="s">
        <v>294</v>
      </c>
      <c r="B43" s="48" t="s">
        <v>295</v>
      </c>
      <c r="C43" s="48" t="s">
        <v>296</v>
      </c>
      <c r="D43" s="49" t="s">
        <v>120</v>
      </c>
      <c r="E43" s="50" t="n">
        <v>200000</v>
      </c>
      <c r="F43" s="50" t="n">
        <f aca="false">IF(OR(E43="",E43="TBC"),"TBC",IFERROR(E43/VLOOKUP(D43,Settings!$A$7:$B$17,2,FALSE()),E43))</f>
        <v>200000</v>
      </c>
      <c r="G43" s="51" t="s">
        <v>240</v>
      </c>
      <c r="H43" s="48"/>
      <c r="I43" s="52"/>
      <c r="J43" s="31" t="s">
        <v>297</v>
      </c>
    </row>
    <row r="44" customFormat="false" ht="27.75" hidden="false" customHeight="true" outlineLevel="0" collapsed="false">
      <c r="A44" s="24" t="s">
        <v>155</v>
      </c>
      <c r="B44" s="24" t="s">
        <v>298</v>
      </c>
      <c r="C44" s="24" t="s">
        <v>299</v>
      </c>
      <c r="D44" s="25" t="s">
        <v>300</v>
      </c>
      <c r="E44" s="26" t="n">
        <v>1980</v>
      </c>
      <c r="F44" s="26" t="n">
        <f aca="false">IF(OR(E44="",E44="TBC"),"TBC",IFERROR(E44/VLOOKUP(D44,Settings!$A$7:$B$17,2,FALSE()),E44))</f>
        <v>5310.30413560049</v>
      </c>
      <c r="G44" s="46" t="s">
        <v>174</v>
      </c>
      <c r="H44" s="24" t="s">
        <v>155</v>
      </c>
      <c r="I44" s="47"/>
      <c r="J44" s="31" t="s">
        <v>301</v>
      </c>
    </row>
    <row r="45" customFormat="false" ht="27.75" hidden="false" customHeight="true" outlineLevel="0" collapsed="false">
      <c r="A45" s="32"/>
      <c r="B45" s="32"/>
      <c r="C45" s="32"/>
      <c r="D45" s="33"/>
      <c r="E45" s="34"/>
      <c r="F45" s="34" t="str">
        <f aca="false">IF(OR(E45="",E45="TBC"),"TBC",IFERROR(E45/VLOOKUP(D45,Settings!$A$7:$B$17,2,FALSE()),E45))</f>
        <v>TBC</v>
      </c>
      <c r="G45" s="53"/>
      <c r="H45" s="32"/>
      <c r="I45" s="54"/>
      <c r="J45" s="31"/>
    </row>
    <row r="46" customFormat="false" ht="27.75" hidden="false" customHeight="true" outlineLevel="0" collapsed="false">
      <c r="A46" s="32"/>
      <c r="B46" s="32"/>
      <c r="C46" s="32"/>
      <c r="D46" s="33"/>
      <c r="E46" s="34"/>
      <c r="F46" s="34" t="str">
        <f aca="false">IF(OR(E46="",E46="TBC"),"TBC",IFERROR(E46/VLOOKUP(D46,Settings!$A$7:$B$17,2,FALSE()),E46))</f>
        <v>TBC</v>
      </c>
      <c r="G46" s="53"/>
      <c r="H46" s="32"/>
      <c r="I46" s="54"/>
      <c r="J46" s="31"/>
    </row>
    <row r="47" customFormat="false" ht="27.75" hidden="false" customHeight="true" outlineLevel="0" collapsed="false">
      <c r="A47" s="32"/>
      <c r="B47" s="32"/>
      <c r="C47" s="32"/>
      <c r="D47" s="33"/>
      <c r="E47" s="34"/>
      <c r="F47" s="34" t="str">
        <f aca="false">IF(OR(E47="",E47="TBC"),"TBC",IFERROR(E47/VLOOKUP(D47,Settings!$A$7:$B$17,2,FALSE()),E47))</f>
        <v>TBC</v>
      </c>
      <c r="G47" s="53"/>
      <c r="H47" s="32"/>
      <c r="I47" s="54"/>
      <c r="J47" s="31"/>
    </row>
    <row r="48" customFormat="false" ht="27.75" hidden="false" customHeight="true" outlineLevel="0" collapsed="false">
      <c r="A48" s="32"/>
      <c r="B48" s="32"/>
      <c r="C48" s="32"/>
      <c r="D48" s="33"/>
      <c r="E48" s="34"/>
      <c r="F48" s="34" t="str">
        <f aca="false">IF(OR(E48="",E48="TBC"),"TBC",IFERROR(E48/VLOOKUP(D48,Settings!$A$7:$B$17,2,FALSE()),E48))</f>
        <v>TBC</v>
      </c>
      <c r="G48" s="53"/>
      <c r="H48" s="32"/>
      <c r="I48" s="54"/>
      <c r="J48" s="31"/>
    </row>
    <row r="49" customFormat="false" ht="27.75" hidden="false" customHeight="true" outlineLevel="0" collapsed="false">
      <c r="A49" s="32"/>
      <c r="B49" s="32"/>
      <c r="C49" s="32"/>
      <c r="D49" s="33"/>
      <c r="E49" s="34"/>
      <c r="F49" s="34" t="str">
        <f aca="false">IF(OR(E49="",E49="TBC"),"TBC",IFERROR(E49/VLOOKUP(D49,Settings!$A$7:$B$17,2,FALSE()),E49))</f>
        <v>TBC</v>
      </c>
      <c r="G49" s="53"/>
      <c r="H49" s="32"/>
      <c r="I49" s="54"/>
      <c r="J49" s="31"/>
    </row>
    <row r="50" customFormat="false" ht="27.75" hidden="false" customHeight="true" outlineLevel="0" collapsed="false">
      <c r="A50" s="32"/>
      <c r="B50" s="32"/>
      <c r="C50" s="32"/>
      <c r="D50" s="33"/>
      <c r="E50" s="34"/>
      <c r="F50" s="34" t="str">
        <f aca="false">IF(OR(E50="",E50="TBC"),"TBC",IFERROR(E50/VLOOKUP(D50,Settings!$A$7:$B$17,2,FALSE()),E50))</f>
        <v>TBC</v>
      </c>
      <c r="G50" s="53"/>
      <c r="H50" s="32"/>
      <c r="I50" s="54"/>
      <c r="J50" s="31"/>
    </row>
    <row r="51" customFormat="false" ht="27.75" hidden="false" customHeight="true" outlineLevel="0" collapsed="false">
      <c r="A51" s="32"/>
      <c r="B51" s="32"/>
      <c r="C51" s="32"/>
      <c r="D51" s="33"/>
      <c r="E51" s="34"/>
      <c r="F51" s="34" t="str">
        <f aca="false">IF(OR(E51="",E51="TBC"),"TBC",IFERROR(E51/VLOOKUP(D51,Settings!$A$7:$B$17,2,FALSE()),E51))</f>
        <v>TBC</v>
      </c>
      <c r="G51" s="53"/>
      <c r="H51" s="32"/>
      <c r="I51" s="54"/>
      <c r="J51" s="31"/>
    </row>
    <row r="52" customFormat="false" ht="27.75" hidden="false" customHeight="true" outlineLevel="0" collapsed="false">
      <c r="A52" s="32"/>
      <c r="B52" s="32"/>
      <c r="C52" s="32"/>
      <c r="D52" s="33"/>
      <c r="E52" s="34"/>
      <c r="F52" s="34" t="str">
        <f aca="false">IF(OR(E52="",E52="TBC"),"TBC",IFERROR(E52/VLOOKUP(D52,Settings!$A$7:$B$17,2,FALSE()),E52))</f>
        <v>TBC</v>
      </c>
      <c r="G52" s="53"/>
      <c r="H52" s="32"/>
      <c r="I52" s="54"/>
      <c r="J52" s="31"/>
    </row>
    <row r="53" customFormat="false" ht="27.75" hidden="false" customHeight="true" outlineLevel="0" collapsed="false">
      <c r="A53" s="32"/>
      <c r="B53" s="32"/>
      <c r="C53" s="32"/>
      <c r="D53" s="33"/>
      <c r="E53" s="34"/>
      <c r="F53" s="34" t="str">
        <f aca="false">IF(OR(E53="",E53="TBC"),"TBC",IFERROR(E53/VLOOKUP(D53,Settings!$A$7:$B$17,2,FALSE()),E53))</f>
        <v>TBC</v>
      </c>
      <c r="G53" s="53"/>
      <c r="H53" s="32"/>
      <c r="I53" s="54"/>
      <c r="J53" s="31"/>
    </row>
    <row r="54" customFormat="false" ht="27.75" hidden="false" customHeight="true" outlineLevel="0" collapsed="false">
      <c r="A54" s="32"/>
      <c r="B54" s="32"/>
      <c r="C54" s="32"/>
      <c r="D54" s="33"/>
      <c r="E54" s="34"/>
      <c r="F54" s="34" t="str">
        <f aca="false">IF(OR(E54="",E54="TBC"),"TBC",IFERROR(E54/VLOOKUP(D54,Settings!$A$7:$B$17,2,FALSE()),E54))</f>
        <v>TBC</v>
      </c>
      <c r="G54" s="53"/>
      <c r="H54" s="32"/>
      <c r="I54" s="54"/>
      <c r="J54" s="31"/>
    </row>
    <row r="55" customFormat="false" ht="27.75" hidden="false" customHeight="true" outlineLevel="0" collapsed="false">
      <c r="A55" s="32"/>
      <c r="B55" s="32"/>
      <c r="C55" s="32"/>
      <c r="D55" s="33"/>
      <c r="E55" s="34"/>
      <c r="F55" s="34" t="str">
        <f aca="false">IF(OR(E55="",E55="TBC"),"TBC",IFERROR(E55/VLOOKUP(D55,Settings!$A$7:$B$17,2,FALSE()),E55))</f>
        <v>TBC</v>
      </c>
      <c r="G55" s="53"/>
      <c r="H55" s="32"/>
      <c r="I55" s="54"/>
      <c r="J55" s="31"/>
    </row>
    <row r="56" customFormat="false" ht="27.75" hidden="false" customHeight="true" outlineLevel="0" collapsed="false">
      <c r="A56" s="32"/>
      <c r="B56" s="32"/>
      <c r="C56" s="32"/>
      <c r="D56" s="33"/>
      <c r="E56" s="34"/>
      <c r="F56" s="34" t="str">
        <f aca="false">IF(OR(E56="",E56="TBC"),"TBC",IFERROR(E56/VLOOKUP(D56,Settings!$A$7:$B$17,2,FALSE()),E56))</f>
        <v>TBC</v>
      </c>
      <c r="G56" s="53"/>
      <c r="H56" s="32"/>
      <c r="I56" s="54"/>
      <c r="J56" s="31"/>
    </row>
    <row r="57" customFormat="false" ht="27.75" hidden="false" customHeight="true" outlineLevel="0" collapsed="false">
      <c r="A57" s="32"/>
      <c r="B57" s="32"/>
      <c r="C57" s="32"/>
      <c r="D57" s="33"/>
      <c r="E57" s="34"/>
      <c r="F57" s="34" t="str">
        <f aca="false">IF(OR(E57="",E57="TBC"),"TBC",IFERROR(E57/VLOOKUP(D57,Settings!$A$7:$B$17,2,FALSE()),E57))</f>
        <v>TBC</v>
      </c>
      <c r="G57" s="53"/>
      <c r="H57" s="32"/>
      <c r="I57" s="54"/>
      <c r="J57" s="31"/>
    </row>
    <row r="58" customFormat="false" ht="27.75" hidden="false" customHeight="true" outlineLevel="0" collapsed="false">
      <c r="A58" s="32"/>
      <c r="B58" s="32"/>
      <c r="C58" s="32"/>
      <c r="D58" s="33"/>
      <c r="E58" s="34"/>
      <c r="F58" s="34" t="str">
        <f aca="false">IF(OR(E58="",E58="TBC"),"TBC",IFERROR(E58/VLOOKUP(D58,Settings!$A$7:$B$17,2,FALSE()),E58))</f>
        <v>TBC</v>
      </c>
      <c r="G58" s="53"/>
      <c r="H58" s="32"/>
      <c r="I58" s="54"/>
      <c r="J58" s="31"/>
    </row>
    <row r="59" customFormat="false" ht="27.75" hidden="false" customHeight="true" outlineLevel="0" collapsed="false">
      <c r="A59" s="32"/>
      <c r="B59" s="32"/>
      <c r="C59" s="32"/>
      <c r="D59" s="33"/>
      <c r="E59" s="34"/>
      <c r="F59" s="34" t="str">
        <f aca="false">IF(OR(E59="",E59="TBC"),"TBC",IFERROR(E59/VLOOKUP(D59,Settings!$A$7:$B$17,2,FALSE()),E59))</f>
        <v>TBC</v>
      </c>
      <c r="G59" s="53"/>
      <c r="H59" s="32"/>
      <c r="I59" s="54"/>
      <c r="J59" s="31"/>
    </row>
    <row r="60" customFormat="false" ht="27.75" hidden="false" customHeight="true" outlineLevel="0" collapsed="false">
      <c r="A60" s="32"/>
      <c r="B60" s="32"/>
      <c r="C60" s="32"/>
      <c r="D60" s="33"/>
      <c r="E60" s="34"/>
      <c r="F60" s="34" t="str">
        <f aca="false">IF(OR(E60="",E60="TBC"),"TBC",IFERROR(E60/VLOOKUP(D60,Settings!$A$7:$B$17,2,FALSE()),E60))</f>
        <v>TBC</v>
      </c>
      <c r="G60" s="53"/>
      <c r="H60" s="32"/>
      <c r="I60" s="54"/>
      <c r="J60" s="31"/>
    </row>
    <row r="61" customFormat="false" ht="27.75" hidden="false" customHeight="true" outlineLevel="0" collapsed="false">
      <c r="A61" s="32"/>
      <c r="B61" s="32"/>
      <c r="C61" s="32"/>
      <c r="D61" s="33"/>
      <c r="E61" s="34"/>
      <c r="F61" s="34" t="str">
        <f aca="false">IF(OR(E61="",E61="TBC"),"TBC",IFERROR(E61/VLOOKUP(D61,Settings!$A$7:$B$17,2,FALSE()),E61))</f>
        <v>TBC</v>
      </c>
      <c r="G61" s="53"/>
      <c r="H61" s="32"/>
      <c r="I61" s="54"/>
      <c r="J61" s="31"/>
    </row>
    <row r="62" customFormat="false" ht="27.75" hidden="false" customHeight="true" outlineLevel="0" collapsed="false">
      <c r="A62" s="32"/>
      <c r="B62" s="32"/>
      <c r="C62" s="32"/>
      <c r="D62" s="33"/>
      <c r="E62" s="34"/>
      <c r="F62" s="34" t="str">
        <f aca="false">IF(OR(E62="",E62="TBC"),"TBC",IFERROR(E62/VLOOKUP(D62,Settings!$A$7:$B$17,2,FALSE()),E62))</f>
        <v>TBC</v>
      </c>
      <c r="G62" s="53"/>
      <c r="H62" s="32"/>
      <c r="I62" s="54"/>
      <c r="J62" s="31"/>
    </row>
    <row r="63" customFormat="false" ht="27.75" hidden="false" customHeight="true" outlineLevel="0" collapsed="false">
      <c r="A63" s="32"/>
      <c r="B63" s="32"/>
      <c r="C63" s="32"/>
      <c r="D63" s="33"/>
      <c r="E63" s="34"/>
      <c r="F63" s="34" t="str">
        <f aca="false">IF(OR(E63="",E63="TBC"),"TBC",IFERROR(E63/VLOOKUP(D63,Settings!$A$7:$B$17,2,FALSE()),E63))</f>
        <v>TBC</v>
      </c>
      <c r="G63" s="53"/>
      <c r="H63" s="32"/>
      <c r="I63" s="54"/>
      <c r="J63" s="31"/>
    </row>
    <row r="64" customFormat="false" ht="27.75" hidden="false" customHeight="true" outlineLevel="0" collapsed="false">
      <c r="A64" s="32"/>
      <c r="B64" s="32"/>
      <c r="C64" s="32"/>
      <c r="D64" s="33"/>
      <c r="E64" s="34"/>
      <c r="F64" s="34" t="str">
        <f aca="false">IF(OR(E64="",E64="TBC"),"TBC",IFERROR(E64/VLOOKUP(D64,Settings!$A$7:$B$17,2,FALSE()),E64))</f>
        <v>TBC</v>
      </c>
      <c r="G64" s="53"/>
      <c r="H64" s="32"/>
      <c r="I64" s="54"/>
      <c r="J64" s="31"/>
    </row>
    <row r="65" customFormat="false" ht="27.75" hidden="false" customHeight="true" outlineLevel="0" collapsed="false">
      <c r="A65" s="32"/>
      <c r="B65" s="32"/>
      <c r="C65" s="32"/>
      <c r="D65" s="33"/>
      <c r="E65" s="34"/>
      <c r="F65" s="34" t="str">
        <f aca="false">IF(OR(E65="",E65="TBC"),"TBC",IFERROR(E65/VLOOKUP(D65,Settings!$A$7:$B$17,2,FALSE()),E65))</f>
        <v>TBC</v>
      </c>
      <c r="G65" s="53"/>
      <c r="H65" s="32"/>
      <c r="I65" s="54"/>
      <c r="J65" s="31"/>
    </row>
    <row r="66" customFormat="false" ht="27.75" hidden="false" customHeight="true" outlineLevel="0" collapsed="false">
      <c r="A66" s="32"/>
      <c r="B66" s="32"/>
      <c r="C66" s="32"/>
      <c r="D66" s="33"/>
      <c r="E66" s="34"/>
      <c r="F66" s="34" t="str">
        <f aca="false">IF(OR(E66="",E66="TBC"),"TBC",IFERROR(E66/VLOOKUP(D66,Settings!$A$7:$B$17,2,FALSE()),E66))</f>
        <v>TBC</v>
      </c>
      <c r="G66" s="53"/>
      <c r="H66" s="32"/>
      <c r="I66" s="54"/>
      <c r="J66" s="31"/>
    </row>
    <row r="67" customFormat="false" ht="27.75" hidden="false" customHeight="true" outlineLevel="0" collapsed="false">
      <c r="A67" s="32"/>
      <c r="B67" s="32"/>
      <c r="C67" s="32"/>
      <c r="D67" s="33"/>
      <c r="E67" s="34"/>
      <c r="F67" s="34" t="str">
        <f aca="false">IF(OR(E67="",E67="TBC"),"TBC",IFERROR(E67/VLOOKUP(D67,Settings!$A$7:$B$17,2,FALSE()),E67))</f>
        <v>TBC</v>
      </c>
      <c r="G67" s="53"/>
      <c r="H67" s="32"/>
      <c r="I67" s="54"/>
      <c r="J67" s="31"/>
    </row>
    <row r="68" customFormat="false" ht="27.75" hidden="false" customHeight="true" outlineLevel="0" collapsed="false">
      <c r="A68" s="32"/>
      <c r="B68" s="32"/>
      <c r="C68" s="32"/>
      <c r="D68" s="33"/>
      <c r="E68" s="34"/>
      <c r="F68" s="34" t="str">
        <f aca="false">IF(OR(E68="",E68="TBC"),"TBC",IFERROR(E68/VLOOKUP(D68,Settings!$A$7:$B$17,2,FALSE()),E68))</f>
        <v>TBC</v>
      </c>
      <c r="G68" s="53"/>
      <c r="H68" s="32"/>
      <c r="I68" s="54"/>
      <c r="J68" s="31"/>
    </row>
    <row r="69" customFormat="false" ht="27.75" hidden="false" customHeight="true" outlineLevel="0" collapsed="false">
      <c r="A69" s="32"/>
      <c r="B69" s="32"/>
      <c r="C69" s="32"/>
      <c r="D69" s="33"/>
      <c r="E69" s="34"/>
      <c r="F69" s="34" t="str">
        <f aca="false">IF(OR(E69="",E69="TBC"),"TBC",IFERROR(E69/VLOOKUP(D69,Settings!$A$7:$B$17,2,FALSE()),E69))</f>
        <v>TBC</v>
      </c>
      <c r="G69" s="53"/>
      <c r="H69" s="32"/>
      <c r="I69" s="54"/>
      <c r="J69" s="31"/>
    </row>
    <row r="70" customFormat="false" ht="27.75" hidden="false" customHeight="true" outlineLevel="0" collapsed="false">
      <c r="A70" s="32"/>
      <c r="B70" s="32"/>
      <c r="C70" s="32"/>
      <c r="D70" s="33"/>
      <c r="E70" s="34"/>
      <c r="F70" s="34" t="str">
        <f aca="false">IF(OR(E70="",E70="TBC"),"TBC",IFERROR(E70/VLOOKUP(D70,Settings!$A$7:$B$17,2,FALSE()),E70))</f>
        <v>TBC</v>
      </c>
      <c r="G70" s="53"/>
      <c r="H70" s="32"/>
      <c r="I70" s="54"/>
      <c r="J70" s="31"/>
    </row>
    <row r="71" customFormat="false" ht="27.75" hidden="false" customHeight="true" outlineLevel="0" collapsed="false">
      <c r="A71" s="32"/>
      <c r="B71" s="32"/>
      <c r="C71" s="32"/>
      <c r="D71" s="33"/>
      <c r="E71" s="34"/>
      <c r="F71" s="34" t="str">
        <f aca="false">IF(OR(E71="",E71="TBC"),"TBC",IFERROR(E71/VLOOKUP(D71,Settings!$A$7:$B$17,2,FALSE()),E71))</f>
        <v>TBC</v>
      </c>
      <c r="G71" s="53"/>
      <c r="H71" s="32"/>
      <c r="I71" s="54"/>
      <c r="J71" s="31"/>
    </row>
    <row r="72" customFormat="false" ht="27.75" hidden="false" customHeight="true" outlineLevel="0" collapsed="false">
      <c r="A72" s="32"/>
      <c r="B72" s="32"/>
      <c r="C72" s="32"/>
      <c r="D72" s="33"/>
      <c r="E72" s="34"/>
      <c r="F72" s="34" t="str">
        <f aca="false">IF(OR(E72="",E72="TBC"),"TBC",IFERROR(E72/VLOOKUP(D72,Settings!$A$7:$B$17,2,FALSE()),E72))</f>
        <v>TBC</v>
      </c>
      <c r="G72" s="53"/>
      <c r="H72" s="32"/>
      <c r="I72" s="54"/>
      <c r="J72" s="31"/>
    </row>
    <row r="73" customFormat="false" ht="27.75" hidden="false" customHeight="true" outlineLevel="0" collapsed="false">
      <c r="A73" s="32"/>
      <c r="B73" s="32"/>
      <c r="C73" s="32"/>
      <c r="D73" s="33"/>
      <c r="E73" s="34"/>
      <c r="F73" s="34" t="str">
        <f aca="false">IF(OR(E73="",E73="TBC"),"TBC",IFERROR(E73/VLOOKUP(D73,Settings!$A$7:$B$17,2,FALSE()),E73))</f>
        <v>TBC</v>
      </c>
      <c r="G73" s="53"/>
      <c r="H73" s="32"/>
      <c r="I73" s="54"/>
      <c r="J73" s="31"/>
    </row>
    <row r="74" customFormat="false" ht="27.75" hidden="false" customHeight="true" outlineLevel="0" collapsed="false">
      <c r="A74" s="32"/>
      <c r="B74" s="32"/>
      <c r="C74" s="32"/>
      <c r="D74" s="33"/>
      <c r="E74" s="34"/>
      <c r="F74" s="34" t="str">
        <f aca="false">IF(OR(E74="",E74="TBC"),"TBC",IFERROR(E74/VLOOKUP(D74,Settings!$A$7:$B$17,2,FALSE()),E74))</f>
        <v>TBC</v>
      </c>
      <c r="G74" s="53"/>
      <c r="H74" s="32"/>
      <c r="I74" s="54"/>
      <c r="J74" s="31"/>
    </row>
    <row r="75" customFormat="false" ht="27.75" hidden="false" customHeight="true" outlineLevel="0" collapsed="false">
      <c r="A75" s="32"/>
      <c r="B75" s="32"/>
      <c r="C75" s="32"/>
      <c r="D75" s="33"/>
      <c r="E75" s="34"/>
      <c r="F75" s="34" t="str">
        <f aca="false">IF(OR(E75="",E75="TBC"),"TBC",IFERROR(E75/VLOOKUP(D75,Settings!$A$7:$B$17,2,FALSE()),E75))</f>
        <v>TBC</v>
      </c>
      <c r="G75" s="53"/>
      <c r="H75" s="32"/>
      <c r="I75" s="54"/>
      <c r="J75" s="31"/>
    </row>
    <row r="76" customFormat="false" ht="27.75" hidden="false" customHeight="true" outlineLevel="0" collapsed="false">
      <c r="A76" s="32"/>
      <c r="B76" s="32"/>
      <c r="C76" s="32"/>
      <c r="D76" s="33"/>
      <c r="E76" s="34"/>
      <c r="F76" s="34" t="str">
        <f aca="false">IF(OR(E76="",E76="TBC"),"TBC",IFERROR(E76/VLOOKUP(D76,Settings!$A$7:$B$17,2,FALSE()),E76))</f>
        <v>TBC</v>
      </c>
      <c r="G76" s="53"/>
      <c r="H76" s="32"/>
      <c r="I76" s="54"/>
      <c r="J76" s="31"/>
    </row>
    <row r="77" customFormat="false" ht="27.75" hidden="false" customHeight="true" outlineLevel="0" collapsed="false">
      <c r="A77" s="32"/>
      <c r="B77" s="32"/>
      <c r="C77" s="32"/>
      <c r="D77" s="33"/>
      <c r="E77" s="34"/>
      <c r="F77" s="34" t="str">
        <f aca="false">IF(OR(E77="",E77="TBC"),"TBC",IFERROR(E77/VLOOKUP(D77,Settings!$A$7:$B$17,2,FALSE()),E77))</f>
        <v>TBC</v>
      </c>
      <c r="G77" s="53"/>
      <c r="H77" s="32"/>
      <c r="I77" s="54"/>
      <c r="J77" s="31"/>
    </row>
    <row r="78" customFormat="false" ht="27.75" hidden="false" customHeight="true" outlineLevel="0" collapsed="false">
      <c r="A78" s="32"/>
      <c r="B78" s="32"/>
      <c r="C78" s="32"/>
      <c r="D78" s="33"/>
      <c r="E78" s="34"/>
      <c r="F78" s="34" t="str">
        <f aca="false">IF(OR(E78="",E78="TBC"),"TBC",IFERROR(E78/VLOOKUP(D78,Settings!$A$7:$B$17,2,FALSE()),E78))</f>
        <v>TBC</v>
      </c>
      <c r="G78" s="53"/>
      <c r="H78" s="32"/>
      <c r="I78" s="54"/>
      <c r="J78" s="31"/>
    </row>
    <row r="79" customFormat="false" ht="27.75" hidden="false" customHeight="true" outlineLevel="0" collapsed="false">
      <c r="A79" s="32"/>
      <c r="B79" s="32"/>
      <c r="C79" s="32"/>
      <c r="D79" s="33"/>
      <c r="E79" s="34"/>
      <c r="F79" s="34" t="str">
        <f aca="false">IF(OR(E79="",E79="TBC"),"TBC",IFERROR(E79/VLOOKUP(D79,Settings!$A$7:$B$17,2,FALSE()),E79))</f>
        <v>TBC</v>
      </c>
      <c r="G79" s="53"/>
      <c r="H79" s="32"/>
      <c r="I79" s="54"/>
      <c r="J79" s="31"/>
    </row>
    <row r="80" customFormat="false" ht="27.75" hidden="false" customHeight="true" outlineLevel="0" collapsed="false">
      <c r="A80" s="32"/>
      <c r="B80" s="32"/>
      <c r="C80" s="32"/>
      <c r="D80" s="33"/>
      <c r="E80" s="34"/>
      <c r="F80" s="34" t="str">
        <f aca="false">IF(OR(E80="",E80="TBC"),"TBC",IFERROR(E80/VLOOKUP(D80,Settings!$A$7:$B$17,2,FALSE()),E80))</f>
        <v>TBC</v>
      </c>
      <c r="G80" s="53"/>
      <c r="H80" s="32"/>
      <c r="I80" s="54"/>
      <c r="J80" s="31"/>
    </row>
    <row r="81" customFormat="false" ht="27.75" hidden="false" customHeight="true" outlineLevel="0" collapsed="false">
      <c r="A81" s="32"/>
      <c r="B81" s="32"/>
      <c r="C81" s="32"/>
      <c r="D81" s="33"/>
      <c r="E81" s="34"/>
      <c r="F81" s="34" t="str">
        <f aca="false">IF(OR(E81="",E81="TBC"),"TBC",IFERROR(E81/VLOOKUP(D81,Settings!$A$7:$B$17,2,FALSE()),E81))</f>
        <v>TBC</v>
      </c>
      <c r="G81" s="53"/>
      <c r="H81" s="32"/>
      <c r="I81" s="54"/>
      <c r="J81" s="31"/>
    </row>
    <row r="82" customFormat="false" ht="27.75" hidden="false" customHeight="true" outlineLevel="0" collapsed="false">
      <c r="A82" s="32"/>
      <c r="B82" s="32"/>
      <c r="C82" s="32"/>
      <c r="D82" s="33"/>
      <c r="E82" s="34"/>
      <c r="F82" s="34" t="str">
        <f aca="false">IF(OR(E82="",E82="TBC"),"TBC",IFERROR(E82/VLOOKUP(D82,Settings!$A$7:$B$17,2,FALSE()),E82))</f>
        <v>TBC</v>
      </c>
      <c r="G82" s="53"/>
      <c r="H82" s="32"/>
      <c r="I82" s="54"/>
      <c r="J82" s="31"/>
    </row>
    <row r="83" customFormat="false" ht="27.75" hidden="false" customHeight="true" outlineLevel="0" collapsed="false">
      <c r="A83" s="32"/>
      <c r="B83" s="32"/>
      <c r="C83" s="32"/>
      <c r="D83" s="33"/>
      <c r="E83" s="34"/>
      <c r="F83" s="34" t="str">
        <f aca="false">IF(OR(E83="",E83="TBC"),"TBC",IFERROR(E83/VLOOKUP(D83,Settings!$A$7:$B$17,2,FALSE()),E83))</f>
        <v>TBC</v>
      </c>
      <c r="G83" s="53"/>
      <c r="H83" s="32"/>
      <c r="I83" s="54"/>
      <c r="J83" s="31"/>
    </row>
    <row r="84" customFormat="false" ht="27.75" hidden="false" customHeight="true" outlineLevel="0" collapsed="false">
      <c r="A84" s="32"/>
      <c r="B84" s="32"/>
      <c r="C84" s="32"/>
      <c r="D84" s="33"/>
      <c r="E84" s="34"/>
      <c r="F84" s="34" t="str">
        <f aca="false">IF(OR(E84="",E84="TBC"),"TBC",IFERROR(E84/VLOOKUP(D84,Settings!$A$7:$B$17,2,FALSE()),E84))</f>
        <v>TBC</v>
      </c>
      <c r="G84" s="53"/>
      <c r="H84" s="32"/>
      <c r="I84" s="54"/>
      <c r="J84" s="31"/>
    </row>
    <row r="85" customFormat="false" ht="27.75" hidden="false" customHeight="true" outlineLevel="0" collapsed="false">
      <c r="A85" s="32"/>
      <c r="B85" s="32"/>
      <c r="C85" s="32"/>
      <c r="D85" s="33"/>
      <c r="E85" s="34"/>
      <c r="F85" s="34" t="str">
        <f aca="false">IF(OR(E85="",E85="TBC"),"TBC",IFERROR(E85/VLOOKUP(D85,Settings!$A$7:$B$17,2,FALSE()),E85))</f>
        <v>TBC</v>
      </c>
      <c r="G85" s="53"/>
      <c r="H85" s="32"/>
      <c r="I85" s="54"/>
      <c r="J85" s="31"/>
    </row>
    <row r="86" customFormat="false" ht="27.75" hidden="false" customHeight="true" outlineLevel="0" collapsed="false">
      <c r="A86" s="32"/>
      <c r="B86" s="32"/>
      <c r="C86" s="32"/>
      <c r="D86" s="33"/>
      <c r="E86" s="34"/>
      <c r="F86" s="34" t="str">
        <f aca="false">IF(OR(E86="",E86="TBC"),"TBC",IFERROR(E86/VLOOKUP(D86,Settings!$A$7:$B$17,2,FALSE()),E86))</f>
        <v>TBC</v>
      </c>
      <c r="G86" s="53"/>
      <c r="H86" s="32"/>
      <c r="I86" s="54"/>
      <c r="J86" s="31"/>
    </row>
    <row r="87" customFormat="false" ht="27.75" hidden="false" customHeight="true" outlineLevel="0" collapsed="false">
      <c r="A87" s="32"/>
      <c r="B87" s="32"/>
      <c r="C87" s="32"/>
      <c r="D87" s="33"/>
      <c r="E87" s="34"/>
      <c r="F87" s="34" t="str">
        <f aca="false">IF(OR(E87="",E87="TBC"),"TBC",IFERROR(E87/VLOOKUP(D87,Settings!$A$7:$B$17,2,FALSE()),E87))</f>
        <v>TBC</v>
      </c>
      <c r="G87" s="53"/>
      <c r="H87" s="32"/>
      <c r="I87" s="54"/>
      <c r="J87" s="31"/>
    </row>
    <row r="88" customFormat="false" ht="27.75" hidden="false" customHeight="true" outlineLevel="0" collapsed="false">
      <c r="A88" s="32"/>
      <c r="B88" s="32"/>
      <c r="C88" s="32"/>
      <c r="D88" s="33"/>
      <c r="E88" s="34"/>
      <c r="F88" s="34" t="str">
        <f aca="false">IF(OR(E88="",E88="TBC"),"TBC",IFERROR(E88/VLOOKUP(D88,Settings!$A$7:$B$17,2,FALSE()),E88))</f>
        <v>TBC</v>
      </c>
      <c r="G88" s="53"/>
      <c r="H88" s="32"/>
      <c r="I88" s="54"/>
      <c r="J88" s="31"/>
    </row>
    <row r="89" customFormat="false" ht="27.75" hidden="false" customHeight="true" outlineLevel="0" collapsed="false">
      <c r="A89" s="32"/>
      <c r="B89" s="32"/>
      <c r="C89" s="32"/>
      <c r="D89" s="33"/>
      <c r="E89" s="34"/>
      <c r="F89" s="34" t="str">
        <f aca="false">IF(OR(E89="",E89="TBC"),"TBC",IFERROR(E89/VLOOKUP(D89,Settings!$A$7:$B$17,2,FALSE()),E89))</f>
        <v>TBC</v>
      </c>
      <c r="G89" s="53"/>
      <c r="H89" s="32"/>
      <c r="I89" s="54"/>
      <c r="J89" s="31"/>
    </row>
    <row r="90" customFormat="false" ht="27.75" hidden="false" customHeight="true" outlineLevel="0" collapsed="false">
      <c r="A90" s="32"/>
      <c r="B90" s="32"/>
      <c r="C90" s="32"/>
      <c r="D90" s="33"/>
      <c r="E90" s="34"/>
      <c r="F90" s="34" t="str">
        <f aca="false">IF(OR(E90="",E90="TBC"),"TBC",IFERROR(E90/VLOOKUP(D90,Settings!$A$7:$B$17,2,FALSE()),E90))</f>
        <v>TBC</v>
      </c>
      <c r="G90" s="53"/>
      <c r="H90" s="32"/>
      <c r="I90" s="54"/>
      <c r="J90" s="31"/>
    </row>
    <row r="91" customFormat="false" ht="27.75" hidden="false" customHeight="true" outlineLevel="0" collapsed="false">
      <c r="A91" s="32"/>
      <c r="B91" s="32"/>
      <c r="C91" s="32"/>
      <c r="D91" s="33"/>
      <c r="E91" s="34"/>
      <c r="F91" s="34" t="str">
        <f aca="false">IF(OR(E91="",E91="TBC"),"TBC",IFERROR(E91/VLOOKUP(D91,Settings!$A$7:$B$17,2,FALSE()),E91))</f>
        <v>TBC</v>
      </c>
      <c r="G91" s="53"/>
      <c r="H91" s="32"/>
      <c r="I91" s="54"/>
      <c r="J91" s="31"/>
    </row>
    <row r="92" customFormat="false" ht="27.75" hidden="false" customHeight="true" outlineLevel="0" collapsed="false">
      <c r="A92" s="32"/>
      <c r="B92" s="32"/>
      <c r="C92" s="32"/>
      <c r="D92" s="33"/>
      <c r="E92" s="34"/>
      <c r="F92" s="34" t="str">
        <f aca="false">IF(OR(E92="",E92="TBC"),"TBC",IFERROR(E92/VLOOKUP(D92,Settings!$A$7:$B$17,2,FALSE()),E92))</f>
        <v>TBC</v>
      </c>
      <c r="G92" s="53"/>
      <c r="H92" s="32"/>
      <c r="I92" s="54"/>
      <c r="J92" s="31"/>
    </row>
    <row r="93" customFormat="false" ht="27.75" hidden="false" customHeight="true" outlineLevel="0" collapsed="false">
      <c r="A93" s="32"/>
      <c r="B93" s="32"/>
      <c r="C93" s="32"/>
      <c r="D93" s="33"/>
      <c r="E93" s="34"/>
      <c r="F93" s="34" t="str">
        <f aca="false">IF(OR(E93="",E93="TBC"),"TBC",IFERROR(E93/VLOOKUP(D93,Settings!$A$7:$B$17,2,FALSE()),E93))</f>
        <v>TBC</v>
      </c>
      <c r="G93" s="53"/>
      <c r="H93" s="32"/>
      <c r="I93" s="54"/>
      <c r="J93" s="31"/>
    </row>
    <row r="94" customFormat="false" ht="27.75" hidden="false" customHeight="true" outlineLevel="0" collapsed="false">
      <c r="A94" s="32"/>
      <c r="B94" s="32"/>
      <c r="C94" s="32"/>
      <c r="D94" s="33"/>
      <c r="E94" s="34"/>
      <c r="F94" s="34" t="str">
        <f aca="false">IF(OR(E94="",E94="TBC"),"TBC",IFERROR(E94/VLOOKUP(D94,Settings!$A$7:$B$17,2,FALSE()),E94))</f>
        <v>TBC</v>
      </c>
      <c r="G94" s="53"/>
      <c r="H94" s="32"/>
      <c r="I94" s="54"/>
      <c r="J94" s="31"/>
    </row>
    <row r="95" customFormat="false" ht="27.75" hidden="false" customHeight="true" outlineLevel="0" collapsed="false">
      <c r="A95" s="32"/>
      <c r="B95" s="32"/>
      <c r="C95" s="32"/>
      <c r="D95" s="33"/>
      <c r="E95" s="34"/>
      <c r="F95" s="34" t="str">
        <f aca="false">IF(OR(E95="",E95="TBC"),"TBC",IFERROR(E95/VLOOKUP(D95,Settings!$A$7:$B$17,2,FALSE()),E95))</f>
        <v>TBC</v>
      </c>
      <c r="G95" s="53"/>
      <c r="H95" s="32"/>
      <c r="I95" s="54"/>
      <c r="J95" s="31"/>
    </row>
    <row r="96" customFormat="false" ht="27.75" hidden="false" customHeight="true" outlineLevel="0" collapsed="false">
      <c r="A96" s="32"/>
      <c r="B96" s="32"/>
      <c r="C96" s="32"/>
      <c r="D96" s="33"/>
      <c r="E96" s="34"/>
      <c r="F96" s="34" t="str">
        <f aca="false">IF(OR(E96="",E96="TBC"),"TBC",IFERROR(E96/VLOOKUP(D96,Settings!$A$7:$B$17,2,FALSE()),E96))</f>
        <v>TBC</v>
      </c>
      <c r="G96" s="53"/>
      <c r="H96" s="32"/>
      <c r="I96" s="54"/>
      <c r="J96" s="31"/>
    </row>
    <row r="97" customFormat="false" ht="27.75" hidden="false" customHeight="true" outlineLevel="0" collapsed="false">
      <c r="A97" s="32"/>
      <c r="B97" s="32"/>
      <c r="C97" s="32"/>
      <c r="D97" s="33"/>
      <c r="E97" s="34"/>
      <c r="F97" s="34" t="str">
        <f aca="false">IF(OR(E97="",E97="TBC"),"TBC",IFERROR(E97/VLOOKUP(D97,Settings!$A$7:$B$17,2,FALSE()),E97))</f>
        <v>TBC</v>
      </c>
      <c r="G97" s="53"/>
      <c r="H97" s="32"/>
      <c r="I97" s="54"/>
      <c r="J97" s="31"/>
    </row>
    <row r="98" customFormat="false" ht="27.75" hidden="false" customHeight="true" outlineLevel="0" collapsed="false">
      <c r="A98" s="32"/>
      <c r="B98" s="32"/>
      <c r="C98" s="32"/>
      <c r="D98" s="33"/>
      <c r="E98" s="34"/>
      <c r="F98" s="34" t="str">
        <f aca="false">IF(OR(E98="",E98="TBC"),"TBC",IFERROR(E98/VLOOKUP(D98,Settings!$A$7:$B$17,2,FALSE()),E98))</f>
        <v>TBC</v>
      </c>
      <c r="G98" s="53"/>
      <c r="H98" s="32"/>
      <c r="I98" s="54"/>
      <c r="J98" s="31"/>
    </row>
    <row r="99" customFormat="false" ht="27.75" hidden="false" customHeight="true" outlineLevel="0" collapsed="false">
      <c r="A99" s="32"/>
      <c r="B99" s="32"/>
      <c r="C99" s="32"/>
      <c r="D99" s="33"/>
      <c r="E99" s="34"/>
      <c r="F99" s="34" t="str">
        <f aca="false">IF(OR(E99="",E99="TBC"),"TBC",IFERROR(E99/VLOOKUP(D99,Settings!$A$7:$B$17,2,FALSE()),E99))</f>
        <v>TBC</v>
      </c>
      <c r="G99" s="53"/>
      <c r="H99" s="32"/>
      <c r="I99" s="54"/>
      <c r="J99" s="31"/>
    </row>
    <row r="100" customFormat="false" ht="27.75" hidden="false" customHeight="true" outlineLevel="0" collapsed="false">
      <c r="A100" s="32"/>
      <c r="B100" s="32"/>
      <c r="C100" s="32"/>
      <c r="D100" s="33"/>
      <c r="E100" s="34"/>
      <c r="F100" s="34" t="str">
        <f aca="false">IF(OR(E100="",E100="TBC"),"TBC",IFERROR(E100/VLOOKUP(D100,Settings!$A$7:$B$17,2,FALSE()),E100))</f>
        <v>TBC</v>
      </c>
      <c r="G100" s="53"/>
      <c r="H100" s="32"/>
      <c r="I100" s="54"/>
      <c r="J100" s="31"/>
    </row>
    <row r="101" customFormat="false" ht="27.75" hidden="false" customHeight="true" outlineLevel="0" collapsed="false">
      <c r="A101" s="32"/>
      <c r="B101" s="32"/>
      <c r="C101" s="32"/>
      <c r="D101" s="33"/>
      <c r="E101" s="34"/>
      <c r="F101" s="34" t="str">
        <f aca="false">IF(OR(E101="",E101="TBC"),"TBC",IFERROR(E101/VLOOKUP(D101,Settings!$A$7:$B$17,2,FALSE()),E101))</f>
        <v>TBC</v>
      </c>
      <c r="G101" s="53"/>
      <c r="H101" s="32"/>
      <c r="I101" s="54"/>
      <c r="J101" s="31"/>
    </row>
    <row r="102" customFormat="false" ht="27.75" hidden="false" customHeight="true" outlineLevel="0" collapsed="false">
      <c r="A102" s="32"/>
      <c r="B102" s="32"/>
      <c r="C102" s="32"/>
      <c r="D102" s="33"/>
      <c r="E102" s="34"/>
      <c r="F102" s="34" t="str">
        <f aca="false">IF(OR(E102="",E102="TBC"),"TBC",IFERROR(E102/VLOOKUP(D102,Settings!$A$7:$B$17,2,FALSE()),E102))</f>
        <v>TBC</v>
      </c>
      <c r="G102" s="53"/>
      <c r="H102" s="32"/>
      <c r="I102" s="54"/>
      <c r="J102" s="31"/>
    </row>
    <row r="103" customFormat="false" ht="27.75" hidden="false" customHeight="true" outlineLevel="0" collapsed="false">
      <c r="A103" s="32"/>
      <c r="B103" s="32"/>
      <c r="C103" s="32"/>
      <c r="D103" s="33"/>
      <c r="E103" s="34"/>
      <c r="F103" s="34" t="str">
        <f aca="false">IF(OR(E103="",E103="TBC"),"TBC",IFERROR(E103/VLOOKUP(D103,Settings!$A$7:$B$17,2,FALSE()),E103))</f>
        <v>TBC</v>
      </c>
      <c r="G103" s="53"/>
      <c r="H103" s="32"/>
      <c r="I103" s="54"/>
      <c r="J103" s="31"/>
    </row>
    <row r="104" customFormat="false" ht="27.75" hidden="false" customHeight="true" outlineLevel="0" collapsed="false">
      <c r="A104" s="32"/>
      <c r="B104" s="32"/>
      <c r="C104" s="32"/>
      <c r="D104" s="33"/>
      <c r="E104" s="34"/>
      <c r="F104" s="34" t="str">
        <f aca="false">IF(OR(E104="",E104="TBC"),"TBC",IFERROR(E104/VLOOKUP(D104,Settings!$A$7:$B$17,2,FALSE()),E104))</f>
        <v>TBC</v>
      </c>
      <c r="G104" s="53"/>
      <c r="H104" s="32"/>
      <c r="I104" s="54"/>
      <c r="J104" s="31"/>
    </row>
    <row r="105" customFormat="false" ht="27.75" hidden="false" customHeight="true" outlineLevel="0" collapsed="false">
      <c r="A105" s="32"/>
      <c r="B105" s="32"/>
      <c r="C105" s="32"/>
      <c r="D105" s="33"/>
      <c r="E105" s="34"/>
      <c r="F105" s="34" t="str">
        <f aca="false">IF(OR(E105="",E105="TBC"),"TBC",IFERROR(E105/VLOOKUP(D105,Settings!$A$7:$B$17,2,FALSE()),E105))</f>
        <v>TBC</v>
      </c>
      <c r="G105" s="53"/>
      <c r="H105" s="32"/>
      <c r="I105" s="54"/>
      <c r="J105" s="31"/>
    </row>
    <row r="106" customFormat="false" ht="27.75" hidden="false" customHeight="true" outlineLevel="0" collapsed="false">
      <c r="A106" s="32"/>
      <c r="B106" s="32"/>
      <c r="C106" s="32"/>
      <c r="D106" s="33"/>
      <c r="E106" s="34"/>
      <c r="F106" s="34" t="str">
        <f aca="false">IF(OR(E106="",E106="TBC"),"TBC",IFERROR(E106/VLOOKUP(D106,Settings!$A$7:$B$17,2,FALSE()),E106))</f>
        <v>TBC</v>
      </c>
      <c r="G106" s="53"/>
      <c r="H106" s="32"/>
      <c r="I106" s="54"/>
      <c r="J106" s="31"/>
    </row>
    <row r="107" customFormat="false" ht="27.75" hidden="false" customHeight="true" outlineLevel="0" collapsed="false">
      <c r="A107" s="32"/>
      <c r="B107" s="32"/>
      <c r="C107" s="32"/>
      <c r="D107" s="33"/>
      <c r="E107" s="34"/>
      <c r="F107" s="34" t="str">
        <f aca="false">IF(OR(E107="",E107="TBC"),"TBC",IFERROR(E107/VLOOKUP(D107,Settings!$A$7:$B$17,2,FALSE()),E107))</f>
        <v>TBC</v>
      </c>
      <c r="G107" s="53"/>
      <c r="H107" s="32"/>
      <c r="I107" s="54"/>
      <c r="J107" s="31"/>
    </row>
    <row r="108" customFormat="false" ht="27.75" hidden="false" customHeight="true" outlineLevel="0" collapsed="false">
      <c r="A108" s="32"/>
      <c r="B108" s="32"/>
      <c r="C108" s="32"/>
      <c r="D108" s="33"/>
      <c r="E108" s="34"/>
      <c r="F108" s="34" t="str">
        <f aca="false">IF(OR(E108="",E108="TBC"),"TBC",IFERROR(E108/VLOOKUP(D108,Settings!$A$7:$B$17,2,FALSE()),E108))</f>
        <v>TBC</v>
      </c>
      <c r="G108" s="53"/>
      <c r="H108" s="32"/>
      <c r="I108" s="54"/>
      <c r="J108" s="31"/>
    </row>
    <row r="109" customFormat="false" ht="27.75" hidden="false" customHeight="true" outlineLevel="0" collapsed="false">
      <c r="A109" s="32"/>
      <c r="B109" s="32"/>
      <c r="C109" s="32"/>
      <c r="D109" s="33"/>
      <c r="E109" s="34"/>
      <c r="F109" s="34" t="str">
        <f aca="false">IF(OR(E109="",E109="TBC"),"TBC",IFERROR(E109/VLOOKUP(D109,Settings!$A$7:$B$17,2,FALSE()),E109))</f>
        <v>TBC</v>
      </c>
      <c r="G109" s="53"/>
      <c r="H109" s="32"/>
      <c r="I109" s="54"/>
      <c r="J109" s="31"/>
    </row>
    <row r="110" customFormat="false" ht="27.75" hidden="false" customHeight="true" outlineLevel="0" collapsed="false">
      <c r="A110" s="32"/>
      <c r="B110" s="32"/>
      <c r="C110" s="32"/>
      <c r="D110" s="33"/>
      <c r="E110" s="34"/>
      <c r="F110" s="34" t="str">
        <f aca="false">IF(OR(E110="",E110="TBC"),"TBC",IFERROR(E110/VLOOKUP(D110,Settings!$A$7:$B$17,2,FALSE()),E110))</f>
        <v>TBC</v>
      </c>
      <c r="G110" s="53"/>
      <c r="H110" s="32"/>
      <c r="I110" s="54"/>
      <c r="J110" s="31"/>
    </row>
    <row r="111" customFormat="false" ht="27.75" hidden="false" customHeight="true" outlineLevel="0" collapsed="false">
      <c r="A111" s="32"/>
      <c r="B111" s="32"/>
      <c r="C111" s="32"/>
      <c r="D111" s="33"/>
      <c r="E111" s="34"/>
      <c r="F111" s="34" t="str">
        <f aca="false">IF(OR(E111="",E111="TBC"),"TBC",IFERROR(E111/VLOOKUP(D111,Settings!$A$7:$B$17,2,FALSE()),E111))</f>
        <v>TBC</v>
      </c>
      <c r="G111" s="53"/>
      <c r="H111" s="32"/>
      <c r="I111" s="54"/>
      <c r="J111" s="31"/>
    </row>
    <row r="112" customFormat="false" ht="27.75" hidden="false" customHeight="true" outlineLevel="0" collapsed="false">
      <c r="A112" s="32"/>
      <c r="B112" s="32"/>
      <c r="C112" s="32"/>
      <c r="D112" s="33"/>
      <c r="E112" s="34"/>
      <c r="F112" s="34" t="str">
        <f aca="false">IF(OR(E112="",E112="TBC"),"TBC",IFERROR(E112/VLOOKUP(D112,Settings!$A$7:$B$17,2,FALSE()),E112))</f>
        <v>TBC</v>
      </c>
      <c r="G112" s="53"/>
      <c r="H112" s="32"/>
      <c r="I112" s="54"/>
      <c r="J112" s="31"/>
    </row>
    <row r="113" customFormat="false" ht="27.75" hidden="false" customHeight="true" outlineLevel="0" collapsed="false">
      <c r="A113" s="32"/>
      <c r="B113" s="32"/>
      <c r="C113" s="32"/>
      <c r="D113" s="33"/>
      <c r="E113" s="34"/>
      <c r="F113" s="34" t="str">
        <f aca="false">IF(OR(E113="",E113="TBC"),"TBC",IFERROR(E113/VLOOKUP(D113,Settings!$A$7:$B$17,2,FALSE()),E113))</f>
        <v>TBC</v>
      </c>
      <c r="G113" s="53"/>
      <c r="H113" s="32"/>
      <c r="I113" s="54"/>
      <c r="J113" s="31"/>
    </row>
    <row r="114" customFormat="false" ht="27.75" hidden="false" customHeight="true" outlineLevel="0" collapsed="false">
      <c r="A114" s="32"/>
      <c r="B114" s="32"/>
      <c r="C114" s="32"/>
      <c r="D114" s="33"/>
      <c r="E114" s="34"/>
      <c r="F114" s="34" t="str">
        <f aca="false">IF(OR(E114="",E114="TBC"),"TBC",IFERROR(E114/VLOOKUP(D114,Settings!$A$7:$B$17,2,FALSE()),E114))</f>
        <v>TBC</v>
      </c>
      <c r="G114" s="53"/>
      <c r="H114" s="32"/>
      <c r="I114" s="54"/>
      <c r="J114" s="31"/>
    </row>
    <row r="115" customFormat="false" ht="27.75" hidden="false" customHeight="true" outlineLevel="0" collapsed="false">
      <c r="A115" s="32"/>
      <c r="B115" s="32"/>
      <c r="C115" s="32"/>
      <c r="D115" s="33"/>
      <c r="E115" s="34"/>
      <c r="F115" s="34" t="str">
        <f aca="false">IF(OR(E115="",E115="TBC"),"TBC",IFERROR(E115/VLOOKUP(D115,Settings!$A$7:$B$17,2,FALSE()),E115))</f>
        <v>TBC</v>
      </c>
      <c r="G115" s="53"/>
      <c r="H115" s="32"/>
      <c r="I115" s="54"/>
      <c r="J115" s="31"/>
    </row>
    <row r="116" customFormat="false" ht="27.75" hidden="false" customHeight="true" outlineLevel="0" collapsed="false">
      <c r="A116" s="32"/>
      <c r="B116" s="32"/>
      <c r="C116" s="32"/>
      <c r="D116" s="33"/>
      <c r="E116" s="34"/>
      <c r="F116" s="34" t="str">
        <f aca="false">IF(OR(E116="",E116="TBC"),"TBC",IFERROR(E116/VLOOKUP(D116,Settings!$A$7:$B$17,2,FALSE()),E116))</f>
        <v>TBC</v>
      </c>
      <c r="G116" s="53"/>
      <c r="H116" s="32"/>
      <c r="I116" s="54"/>
      <c r="J116" s="31"/>
    </row>
    <row r="117" customFormat="false" ht="27.75" hidden="false" customHeight="true" outlineLevel="0" collapsed="false">
      <c r="A117" s="32"/>
      <c r="B117" s="32"/>
      <c r="C117" s="32"/>
      <c r="D117" s="33"/>
      <c r="E117" s="34"/>
      <c r="F117" s="34" t="str">
        <f aca="false">IF(OR(E117="",E117="TBC"),"TBC",IFERROR(E117/VLOOKUP(D117,Settings!$A$7:$B$17,2,FALSE()),E117))</f>
        <v>TBC</v>
      </c>
      <c r="G117" s="53"/>
      <c r="H117" s="32"/>
      <c r="I117" s="54"/>
      <c r="J117" s="31"/>
    </row>
    <row r="118" customFormat="false" ht="27.75" hidden="false" customHeight="true" outlineLevel="0" collapsed="false">
      <c r="A118" s="32"/>
      <c r="B118" s="32"/>
      <c r="C118" s="32"/>
      <c r="D118" s="33"/>
      <c r="E118" s="34"/>
      <c r="F118" s="34" t="str">
        <f aca="false">IF(OR(E118="",E118="TBC"),"TBC",IFERROR(E118/VLOOKUP(D118,Settings!$A$7:$B$17,2,FALSE()),E118))</f>
        <v>TBC</v>
      </c>
      <c r="G118" s="53"/>
      <c r="H118" s="32"/>
      <c r="I118" s="54"/>
      <c r="J118" s="31"/>
    </row>
    <row r="119" customFormat="false" ht="27.75" hidden="false" customHeight="true" outlineLevel="0" collapsed="false">
      <c r="A119" s="32"/>
      <c r="B119" s="32"/>
      <c r="C119" s="32"/>
      <c r="D119" s="33"/>
      <c r="E119" s="34"/>
      <c r="F119" s="34" t="str">
        <f aca="false">IF(OR(E119="",E119="TBC"),"TBC",IFERROR(E119/VLOOKUP(D119,Settings!$A$7:$B$17,2,FALSE()),E119))</f>
        <v>TBC</v>
      </c>
      <c r="G119" s="53"/>
      <c r="H119" s="32"/>
      <c r="I119" s="54"/>
      <c r="J119" s="31"/>
    </row>
    <row r="120" customFormat="false" ht="27.75" hidden="false" customHeight="true" outlineLevel="0" collapsed="false">
      <c r="A120" s="32"/>
      <c r="B120" s="32"/>
      <c r="C120" s="32"/>
      <c r="D120" s="33"/>
      <c r="E120" s="34"/>
      <c r="F120" s="34" t="str">
        <f aca="false">IF(OR(E120="",E120="TBC"),"TBC",IFERROR(E120/VLOOKUP(D120,Settings!$A$7:$B$17,2,FALSE()),E120))</f>
        <v>TBC</v>
      </c>
      <c r="G120" s="53"/>
      <c r="H120" s="32"/>
      <c r="I120" s="54"/>
      <c r="J120" s="31"/>
    </row>
    <row r="121" customFormat="false" ht="27.75" hidden="false" customHeight="true" outlineLevel="0" collapsed="false">
      <c r="A121" s="32"/>
      <c r="B121" s="32"/>
      <c r="C121" s="32"/>
      <c r="D121" s="33"/>
      <c r="E121" s="34"/>
      <c r="F121" s="34" t="str">
        <f aca="false">IF(OR(E121="",E121="TBC"),"TBC",IFERROR(E121/VLOOKUP(D121,Settings!$A$7:$B$17,2,FALSE()),E121))</f>
        <v>TBC</v>
      </c>
      <c r="G121" s="53"/>
      <c r="H121" s="32"/>
      <c r="I121" s="54"/>
      <c r="J121" s="31"/>
    </row>
    <row r="122" customFormat="false" ht="27.75" hidden="false" customHeight="true" outlineLevel="0" collapsed="false">
      <c r="A122" s="32"/>
      <c r="B122" s="32"/>
      <c r="C122" s="32"/>
      <c r="D122" s="33"/>
      <c r="E122" s="34"/>
      <c r="F122" s="34" t="str">
        <f aca="false">IF(OR(E122="",E122="TBC"),"TBC",IFERROR(E122/VLOOKUP(D122,Settings!$A$7:$B$17,2,FALSE()),E122))</f>
        <v>TBC</v>
      </c>
      <c r="G122" s="53"/>
      <c r="H122" s="32"/>
      <c r="I122" s="54"/>
      <c r="J122" s="31"/>
    </row>
    <row r="123" customFormat="false" ht="27.75" hidden="false" customHeight="true" outlineLevel="0" collapsed="false">
      <c r="A123" s="32"/>
      <c r="B123" s="32"/>
      <c r="C123" s="32"/>
      <c r="D123" s="33"/>
      <c r="E123" s="34"/>
      <c r="F123" s="34" t="str">
        <f aca="false">IF(OR(E123="",E123="TBC"),"TBC",IFERROR(E123/VLOOKUP(D123,Settings!$A$7:$B$17,2,FALSE()),E123))</f>
        <v>TBC</v>
      </c>
      <c r="G123" s="53"/>
      <c r="H123" s="32"/>
      <c r="I123" s="54"/>
      <c r="J123" s="31"/>
    </row>
    <row r="124" customFormat="false" ht="27.75" hidden="false" customHeight="true" outlineLevel="0" collapsed="false">
      <c r="A124" s="32"/>
      <c r="B124" s="32"/>
      <c r="C124" s="32"/>
      <c r="D124" s="33"/>
      <c r="E124" s="34"/>
      <c r="F124" s="34" t="str">
        <f aca="false">IF(OR(E124="",E124="TBC"),"TBC",IFERROR(E124/VLOOKUP(D124,Settings!$A$7:$B$17,2,FALSE()),E124))</f>
        <v>TBC</v>
      </c>
      <c r="G124" s="53"/>
      <c r="H124" s="32"/>
      <c r="I124" s="54"/>
      <c r="J124" s="31"/>
    </row>
    <row r="125" customFormat="false" ht="27.75" hidden="false" customHeight="true" outlineLevel="0" collapsed="false">
      <c r="A125" s="32"/>
      <c r="B125" s="32"/>
      <c r="C125" s="32"/>
      <c r="D125" s="33"/>
      <c r="E125" s="34"/>
      <c r="F125" s="34" t="str">
        <f aca="false">IF(OR(E125="",E125="TBC"),"TBC",IFERROR(E125/VLOOKUP(D125,Settings!$A$7:$B$17,2,FALSE()),E125))</f>
        <v>TBC</v>
      </c>
      <c r="G125" s="53"/>
      <c r="H125" s="32"/>
      <c r="I125" s="54"/>
      <c r="J125" s="31"/>
    </row>
    <row r="126" customFormat="false" ht="27.75" hidden="false" customHeight="true" outlineLevel="0" collapsed="false">
      <c r="A126" s="32"/>
      <c r="B126" s="32"/>
      <c r="C126" s="32"/>
      <c r="D126" s="33"/>
      <c r="E126" s="34"/>
      <c r="F126" s="34" t="str">
        <f aca="false">IF(OR(E126="",E126="TBC"),"TBC",IFERROR(E126/VLOOKUP(D126,Settings!$A$7:$B$17,2,FALSE()),E126))</f>
        <v>TBC</v>
      </c>
      <c r="G126" s="53"/>
      <c r="H126" s="32"/>
      <c r="I126" s="54"/>
      <c r="J126" s="31"/>
    </row>
    <row r="127" customFormat="false" ht="27.75" hidden="false" customHeight="true" outlineLevel="0" collapsed="false">
      <c r="A127" s="32"/>
      <c r="B127" s="32"/>
      <c r="C127" s="32"/>
      <c r="D127" s="33"/>
      <c r="E127" s="34"/>
      <c r="F127" s="34" t="str">
        <f aca="false">IF(OR(E127="",E127="TBC"),"TBC",IFERROR(E127/VLOOKUP(D127,Settings!$A$7:$B$17,2,FALSE()),E127))</f>
        <v>TBC</v>
      </c>
      <c r="G127" s="53"/>
      <c r="H127" s="32"/>
      <c r="I127" s="54"/>
      <c r="J127" s="31"/>
    </row>
    <row r="128" customFormat="false" ht="27.75" hidden="false" customHeight="true" outlineLevel="0" collapsed="false">
      <c r="A128" s="32"/>
      <c r="B128" s="32"/>
      <c r="C128" s="32"/>
      <c r="D128" s="33"/>
      <c r="E128" s="34"/>
      <c r="F128" s="34" t="str">
        <f aca="false">IF(OR(E128="",E128="TBC"),"TBC",IFERROR(E128/VLOOKUP(D128,Settings!$A$7:$B$17,2,FALSE()),E128))</f>
        <v>TBC</v>
      </c>
      <c r="G128" s="53"/>
      <c r="H128" s="32"/>
      <c r="I128" s="54"/>
      <c r="J128" s="31"/>
    </row>
    <row r="129" customFormat="false" ht="27.75" hidden="false" customHeight="true" outlineLevel="0" collapsed="false">
      <c r="A129" s="32"/>
      <c r="B129" s="32"/>
      <c r="C129" s="32"/>
      <c r="D129" s="33"/>
      <c r="E129" s="34"/>
      <c r="F129" s="34" t="str">
        <f aca="false">IF(OR(E129="",E129="TBC"),"TBC",IFERROR(E129/VLOOKUP(D129,Settings!$A$7:$B$17,2,FALSE()),E129))</f>
        <v>TBC</v>
      </c>
      <c r="G129" s="53"/>
      <c r="H129" s="32"/>
      <c r="I129" s="54"/>
      <c r="J129" s="31"/>
    </row>
    <row r="130" customFormat="false" ht="27.75" hidden="false" customHeight="true" outlineLevel="0" collapsed="false">
      <c r="A130" s="32"/>
      <c r="B130" s="32"/>
      <c r="C130" s="32"/>
      <c r="D130" s="33"/>
      <c r="E130" s="34"/>
      <c r="F130" s="34" t="str">
        <f aca="false">IF(OR(E130="",E130="TBC"),"TBC",IFERROR(E130/VLOOKUP(D130,Settings!$A$7:$B$17,2,FALSE()),E130))</f>
        <v>TBC</v>
      </c>
      <c r="G130" s="53"/>
      <c r="H130" s="32"/>
      <c r="I130" s="54"/>
      <c r="J130" s="31"/>
    </row>
    <row r="131" customFormat="false" ht="27.75" hidden="false" customHeight="true" outlineLevel="0" collapsed="false">
      <c r="A131" s="32"/>
      <c r="B131" s="32"/>
      <c r="C131" s="32"/>
      <c r="D131" s="33"/>
      <c r="E131" s="34"/>
      <c r="F131" s="34" t="str">
        <f aca="false">IF(OR(E131="",E131="TBC"),"TBC",IFERROR(E131/VLOOKUP(D131,Settings!$A$7:$B$17,2,FALSE()),E131))</f>
        <v>TBC</v>
      </c>
      <c r="G131" s="53"/>
      <c r="H131" s="32"/>
      <c r="I131" s="54"/>
      <c r="J131" s="31"/>
    </row>
    <row r="132" customFormat="false" ht="27.75" hidden="false" customHeight="true" outlineLevel="0" collapsed="false">
      <c r="A132" s="32"/>
      <c r="B132" s="32"/>
      <c r="C132" s="32"/>
      <c r="D132" s="33"/>
      <c r="E132" s="34"/>
      <c r="F132" s="34" t="str">
        <f aca="false">IF(OR(E132="",E132="TBC"),"TBC",IFERROR(E132/VLOOKUP(D132,Settings!$A$7:$B$17,2,FALSE()),E132))</f>
        <v>TBC</v>
      </c>
      <c r="G132" s="53"/>
      <c r="H132" s="32"/>
      <c r="I132" s="54"/>
      <c r="J132" s="31"/>
    </row>
    <row r="133" customFormat="false" ht="27.75" hidden="false" customHeight="true" outlineLevel="0" collapsed="false">
      <c r="A133" s="32"/>
      <c r="B133" s="32"/>
      <c r="C133" s="32"/>
      <c r="D133" s="33"/>
      <c r="E133" s="34"/>
      <c r="F133" s="34" t="str">
        <f aca="false">IF(OR(E133="",E133="TBC"),"TBC",IFERROR(E133/VLOOKUP(D133,Settings!$A$7:$B$17,2,FALSE()),E133))</f>
        <v>TBC</v>
      </c>
      <c r="G133" s="53"/>
      <c r="H133" s="32"/>
      <c r="I133" s="54"/>
      <c r="J133" s="31"/>
    </row>
    <row r="134" customFormat="false" ht="27.75" hidden="false" customHeight="true" outlineLevel="0" collapsed="false">
      <c r="A134" s="32"/>
      <c r="B134" s="32"/>
      <c r="C134" s="32"/>
      <c r="D134" s="33"/>
      <c r="E134" s="34"/>
      <c r="F134" s="34" t="str">
        <f aca="false">IF(OR(E134="",E134="TBC"),"TBC",IFERROR(E134/VLOOKUP(D134,Settings!$A$7:$B$17,2,FALSE()),E134))</f>
        <v>TBC</v>
      </c>
      <c r="G134" s="53"/>
      <c r="H134" s="32"/>
      <c r="I134" s="54"/>
      <c r="J134" s="31"/>
    </row>
    <row r="135" customFormat="false" ht="27.75" hidden="false" customHeight="true" outlineLevel="0" collapsed="false">
      <c r="A135" s="32"/>
      <c r="B135" s="32"/>
      <c r="C135" s="32"/>
      <c r="D135" s="33"/>
      <c r="E135" s="34"/>
      <c r="F135" s="34" t="str">
        <f aca="false">IF(OR(E135="",E135="TBC"),"TBC",IFERROR(E135/VLOOKUP(D135,Settings!$A$7:$B$17,2,FALSE()),E135))</f>
        <v>TBC</v>
      </c>
      <c r="G135" s="53"/>
      <c r="H135" s="32"/>
      <c r="I135" s="54"/>
      <c r="J135" s="31"/>
    </row>
    <row r="136" customFormat="false" ht="27.75" hidden="false" customHeight="true" outlineLevel="0" collapsed="false">
      <c r="A136" s="32"/>
      <c r="B136" s="32"/>
      <c r="C136" s="32"/>
      <c r="D136" s="33"/>
      <c r="E136" s="34"/>
      <c r="F136" s="34" t="str">
        <f aca="false">IF(OR(E136="",E136="TBC"),"TBC",IFERROR(E136/VLOOKUP(D136,Settings!$A$7:$B$17,2,FALSE()),E136))</f>
        <v>TBC</v>
      </c>
      <c r="G136" s="53"/>
      <c r="H136" s="32"/>
      <c r="I136" s="54"/>
      <c r="J136" s="31"/>
    </row>
    <row r="137" customFormat="false" ht="27.75" hidden="false" customHeight="true" outlineLevel="0" collapsed="false">
      <c r="A137" s="32"/>
      <c r="B137" s="32"/>
      <c r="C137" s="32"/>
      <c r="D137" s="33"/>
      <c r="E137" s="34"/>
      <c r="F137" s="34" t="str">
        <f aca="false">IF(OR(E137="",E137="TBC"),"TBC",IFERROR(E137/VLOOKUP(D137,Settings!$A$7:$B$17,2,FALSE()),E137))</f>
        <v>TBC</v>
      </c>
      <c r="G137" s="53"/>
      <c r="H137" s="32"/>
      <c r="I137" s="54"/>
      <c r="J137" s="31"/>
    </row>
    <row r="138" customFormat="false" ht="27.75" hidden="false" customHeight="true" outlineLevel="0" collapsed="false">
      <c r="A138" s="32"/>
      <c r="B138" s="32"/>
      <c r="C138" s="32"/>
      <c r="D138" s="33"/>
      <c r="E138" s="34"/>
      <c r="F138" s="34" t="str">
        <f aca="false">IF(OR(E138="",E138="TBC"),"TBC",IFERROR(E138/VLOOKUP(D138,Settings!$A$7:$B$17,2,FALSE()),E138))</f>
        <v>TBC</v>
      </c>
      <c r="G138" s="53"/>
      <c r="H138" s="32"/>
      <c r="I138" s="54"/>
      <c r="J138" s="31"/>
    </row>
    <row r="139" customFormat="false" ht="27.75" hidden="false" customHeight="true" outlineLevel="0" collapsed="false">
      <c r="A139" s="32"/>
      <c r="B139" s="32"/>
      <c r="C139" s="32"/>
      <c r="D139" s="33"/>
      <c r="E139" s="34"/>
      <c r="F139" s="34" t="str">
        <f aca="false">IF(OR(E139="",E139="TBC"),"TBC",IFERROR(E139/VLOOKUP(D139,Settings!$A$7:$B$17,2,FALSE()),E139))</f>
        <v>TBC</v>
      </c>
      <c r="G139" s="53"/>
      <c r="H139" s="32"/>
      <c r="I139" s="54"/>
      <c r="J139" s="31"/>
    </row>
    <row r="140" customFormat="false" ht="27.75" hidden="false" customHeight="true" outlineLevel="0" collapsed="false">
      <c r="A140" s="32"/>
      <c r="B140" s="32"/>
      <c r="C140" s="32"/>
      <c r="D140" s="33"/>
      <c r="E140" s="34"/>
      <c r="F140" s="34" t="str">
        <f aca="false">IF(OR(E140="",E140="TBC"),"TBC",IFERROR(E140/VLOOKUP(D140,Settings!$A$7:$B$17,2,FALSE()),E140))</f>
        <v>TBC</v>
      </c>
      <c r="G140" s="53"/>
      <c r="H140" s="32"/>
      <c r="I140" s="54"/>
      <c r="J140" s="31"/>
    </row>
    <row r="141" customFormat="false" ht="27.75" hidden="false" customHeight="true" outlineLevel="0" collapsed="false">
      <c r="A141" s="32"/>
      <c r="B141" s="32"/>
      <c r="C141" s="32"/>
      <c r="D141" s="33"/>
      <c r="E141" s="34"/>
      <c r="F141" s="34" t="str">
        <f aca="false">IF(OR(E141="",E141="TBC"),"TBC",IFERROR(E141/VLOOKUP(D141,Settings!$A$7:$B$17,2,FALSE()),E141))</f>
        <v>TBC</v>
      </c>
      <c r="G141" s="53"/>
      <c r="H141" s="32"/>
      <c r="I141" s="54"/>
      <c r="J141" s="31"/>
    </row>
    <row r="142" customFormat="false" ht="27.75" hidden="false" customHeight="true" outlineLevel="0" collapsed="false">
      <c r="A142" s="32"/>
      <c r="B142" s="32"/>
      <c r="C142" s="32"/>
      <c r="D142" s="33"/>
      <c r="E142" s="34"/>
      <c r="F142" s="34" t="str">
        <f aca="false">IF(OR(E142="",E142="TBC"),"TBC",IFERROR(E142/VLOOKUP(D142,Settings!$A$7:$B$17,2,FALSE()),E142))</f>
        <v>TBC</v>
      </c>
      <c r="G142" s="53"/>
      <c r="H142" s="32"/>
      <c r="I142" s="54"/>
      <c r="J142" s="31"/>
    </row>
    <row r="143" customFormat="false" ht="27.75" hidden="false" customHeight="true" outlineLevel="0" collapsed="false">
      <c r="A143" s="32"/>
      <c r="B143" s="32"/>
      <c r="C143" s="32"/>
      <c r="D143" s="33"/>
      <c r="E143" s="34"/>
      <c r="F143" s="34" t="str">
        <f aca="false">IF(OR(E143="",E143="TBC"),"TBC",IFERROR(E143/VLOOKUP(D143,Settings!$A$7:$B$17,2,FALSE()),E143))</f>
        <v>TBC</v>
      </c>
      <c r="G143" s="53"/>
      <c r="H143" s="32"/>
      <c r="I143" s="54"/>
      <c r="J143" s="31"/>
    </row>
    <row r="144" customFormat="false" ht="27.75" hidden="false" customHeight="true" outlineLevel="0" collapsed="false">
      <c r="A144" s="32"/>
      <c r="B144" s="32"/>
      <c r="C144" s="32"/>
      <c r="D144" s="33"/>
      <c r="E144" s="34"/>
      <c r="F144" s="34" t="str">
        <f aca="false">IF(OR(E144="",E144="TBC"),"TBC",IFERROR(E144/VLOOKUP(D144,Settings!$A$7:$B$17,2,FALSE()),E144))</f>
        <v>TBC</v>
      </c>
      <c r="G144" s="53"/>
      <c r="H144" s="32"/>
      <c r="I144" s="54"/>
      <c r="J144" s="31"/>
    </row>
    <row r="145" customFormat="false" ht="27.75" hidden="false" customHeight="true" outlineLevel="0" collapsed="false">
      <c r="A145" s="32"/>
      <c r="B145" s="32"/>
      <c r="C145" s="32"/>
      <c r="D145" s="33"/>
      <c r="E145" s="34"/>
      <c r="F145" s="34" t="str">
        <f aca="false">IF(OR(E145="",E145="TBC"),"TBC",IFERROR(E145/VLOOKUP(D145,Settings!$A$7:$B$17,2,FALSE()),E145))</f>
        <v>TBC</v>
      </c>
      <c r="G145" s="53"/>
      <c r="H145" s="32"/>
      <c r="I145" s="54"/>
      <c r="J145" s="31"/>
    </row>
    <row r="146" customFormat="false" ht="27.75" hidden="false" customHeight="true" outlineLevel="0" collapsed="false">
      <c r="A146" s="32"/>
      <c r="B146" s="32"/>
      <c r="C146" s="32"/>
      <c r="D146" s="33"/>
      <c r="E146" s="34"/>
      <c r="F146" s="34" t="str">
        <f aca="false">IF(OR(E146="",E146="TBC"),"TBC",IFERROR(E146/VLOOKUP(D146,Settings!$A$7:$B$17,2,FALSE()),E146))</f>
        <v>TBC</v>
      </c>
      <c r="G146" s="53"/>
      <c r="H146" s="32"/>
      <c r="I146" s="54"/>
      <c r="J146" s="31"/>
    </row>
    <row r="147" customFormat="false" ht="27.75" hidden="false" customHeight="true" outlineLevel="0" collapsed="false">
      <c r="A147" s="32"/>
      <c r="B147" s="32"/>
      <c r="C147" s="32"/>
      <c r="D147" s="33"/>
      <c r="E147" s="34"/>
      <c r="F147" s="34" t="str">
        <f aca="false">IF(OR(E147="",E147="TBC"),"TBC",IFERROR(E147/VLOOKUP(D147,Settings!$A$7:$B$17,2,FALSE()),E147))</f>
        <v>TBC</v>
      </c>
      <c r="G147" s="53"/>
      <c r="H147" s="32"/>
      <c r="I147" s="54"/>
      <c r="J147" s="31"/>
    </row>
    <row r="148" customFormat="false" ht="27.75" hidden="false" customHeight="true" outlineLevel="0" collapsed="false">
      <c r="A148" s="32"/>
      <c r="B148" s="32"/>
      <c r="C148" s="32"/>
      <c r="D148" s="33"/>
      <c r="E148" s="34"/>
      <c r="F148" s="34" t="str">
        <f aca="false">IF(OR(E148="",E148="TBC"),"TBC",IFERROR(E148/VLOOKUP(D148,Settings!$A$7:$B$17,2,FALSE()),E148))</f>
        <v>TBC</v>
      </c>
      <c r="G148" s="53"/>
      <c r="H148" s="32"/>
      <c r="I148" s="54"/>
      <c r="J148" s="31"/>
    </row>
    <row r="149" customFormat="false" ht="27.75" hidden="false" customHeight="true" outlineLevel="0" collapsed="false">
      <c r="A149" s="32"/>
      <c r="B149" s="32"/>
      <c r="C149" s="32"/>
      <c r="D149" s="33"/>
      <c r="E149" s="34"/>
      <c r="F149" s="34" t="str">
        <f aca="false">IF(OR(E149="",E149="TBC"),"TBC",IFERROR(E149/VLOOKUP(D149,Settings!$A$7:$B$17,2,FALSE()),E149))</f>
        <v>TBC</v>
      </c>
      <c r="G149" s="53"/>
      <c r="H149" s="32"/>
      <c r="I149" s="54"/>
      <c r="J149" s="31"/>
    </row>
    <row r="150" customFormat="false" ht="27.75" hidden="false" customHeight="true" outlineLevel="0" collapsed="false">
      <c r="A150" s="32"/>
      <c r="B150" s="32"/>
      <c r="C150" s="32"/>
      <c r="D150" s="33"/>
      <c r="E150" s="34"/>
      <c r="F150" s="34" t="str">
        <f aca="false">IF(OR(E150="",E150="TBC"),"TBC",IFERROR(E150/VLOOKUP(D150,Settings!$A$7:$B$17,2,FALSE()),E150))</f>
        <v>TBC</v>
      </c>
      <c r="G150" s="53"/>
      <c r="H150" s="32"/>
      <c r="I150" s="54"/>
      <c r="J150" s="31"/>
    </row>
    <row r="151" customFormat="false" ht="27.75" hidden="false" customHeight="true" outlineLevel="0" collapsed="false">
      <c r="A151" s="32"/>
      <c r="B151" s="32"/>
      <c r="C151" s="32"/>
      <c r="D151" s="33"/>
      <c r="E151" s="34"/>
      <c r="F151" s="34" t="str">
        <f aca="false">IF(OR(E151="",E151="TBC"),"TBC",IFERROR(E151/VLOOKUP(D151,Settings!$A$7:$B$17,2,FALSE()),E151))</f>
        <v>TBC</v>
      </c>
      <c r="G151" s="53"/>
      <c r="H151" s="32"/>
      <c r="I151" s="54"/>
      <c r="J151" s="31"/>
    </row>
    <row r="152" customFormat="false" ht="27.75" hidden="false" customHeight="true" outlineLevel="0" collapsed="false">
      <c r="A152" s="32"/>
      <c r="B152" s="32"/>
      <c r="C152" s="32"/>
      <c r="D152" s="33"/>
      <c r="E152" s="34"/>
      <c r="F152" s="34" t="str">
        <f aca="false">IF(OR(E152="",E152="TBC"),"TBC",IFERROR(E152/VLOOKUP(D152,Settings!$A$7:$B$17,2,FALSE()),E152))</f>
        <v>TBC</v>
      </c>
      <c r="G152" s="53"/>
      <c r="H152" s="32"/>
      <c r="I152" s="54"/>
      <c r="J152" s="31"/>
    </row>
    <row r="153" customFormat="false" ht="27.75" hidden="false" customHeight="true" outlineLevel="0" collapsed="false">
      <c r="A153" s="32"/>
      <c r="B153" s="32"/>
      <c r="C153" s="32"/>
      <c r="D153" s="33"/>
      <c r="E153" s="34"/>
      <c r="F153" s="34" t="str">
        <f aca="false">IF(OR(E153="",E153="TBC"),"TBC",IFERROR(E153/VLOOKUP(D153,Settings!$A$7:$B$17,2,FALSE()),E153))</f>
        <v>TBC</v>
      </c>
      <c r="G153" s="53"/>
      <c r="H153" s="32"/>
      <c r="I153" s="54"/>
      <c r="J153" s="31"/>
    </row>
    <row r="154" customFormat="false" ht="27.75" hidden="false" customHeight="true" outlineLevel="0" collapsed="false">
      <c r="A154" s="32"/>
      <c r="B154" s="32"/>
      <c r="C154" s="32"/>
      <c r="D154" s="33"/>
      <c r="E154" s="34"/>
      <c r="F154" s="34" t="str">
        <f aca="false">IF(OR(E154="",E154="TBC"),"TBC",IFERROR(E154/VLOOKUP(D154,Settings!$A$7:$B$17,2,FALSE()),E154))</f>
        <v>TBC</v>
      </c>
      <c r="G154" s="53"/>
      <c r="H154" s="32"/>
      <c r="I154" s="54"/>
      <c r="J154" s="31"/>
    </row>
    <row r="155" customFormat="false" ht="27.75" hidden="false" customHeight="true" outlineLevel="0" collapsed="false">
      <c r="A155" s="32"/>
      <c r="B155" s="32"/>
      <c r="C155" s="32"/>
      <c r="D155" s="33"/>
      <c r="E155" s="34"/>
      <c r="F155" s="34" t="str">
        <f aca="false">IF(OR(E155="",E155="TBC"),"TBC",IFERROR(E155/VLOOKUP(D155,Settings!$A$7:$B$17,2,FALSE()),E155))</f>
        <v>TBC</v>
      </c>
      <c r="G155" s="53"/>
      <c r="H155" s="32"/>
      <c r="I155" s="54"/>
      <c r="J155" s="31"/>
    </row>
    <row r="156" customFormat="false" ht="27.75" hidden="false" customHeight="true" outlineLevel="0" collapsed="false">
      <c r="A156" s="32"/>
      <c r="B156" s="32"/>
      <c r="C156" s="32"/>
      <c r="D156" s="33"/>
      <c r="E156" s="34"/>
      <c r="F156" s="34" t="str">
        <f aca="false">IF(OR(E156="",E156="TBC"),"TBC",IFERROR(E156/VLOOKUP(D156,Settings!$A$7:$B$17,2,FALSE()),E156))</f>
        <v>TBC</v>
      </c>
      <c r="G156" s="53"/>
      <c r="H156" s="32"/>
      <c r="I156" s="54"/>
      <c r="J156" s="31"/>
    </row>
    <row r="157" customFormat="false" ht="27.75" hidden="false" customHeight="true" outlineLevel="0" collapsed="false">
      <c r="A157" s="32"/>
      <c r="B157" s="32"/>
      <c r="C157" s="32"/>
      <c r="D157" s="33"/>
      <c r="E157" s="34"/>
      <c r="F157" s="34" t="str">
        <f aca="false">IF(OR(E157="",E157="TBC"),"TBC",IFERROR(E157/VLOOKUP(D157,Settings!$A$7:$B$17,2,FALSE()),E157))</f>
        <v>TBC</v>
      </c>
      <c r="G157" s="53"/>
      <c r="H157" s="32"/>
      <c r="I157" s="54"/>
      <c r="J157" s="31"/>
    </row>
    <row r="158" customFormat="false" ht="27.75" hidden="false" customHeight="true" outlineLevel="0" collapsed="false">
      <c r="A158" s="32"/>
      <c r="B158" s="32"/>
      <c r="C158" s="32"/>
      <c r="D158" s="33"/>
      <c r="E158" s="34"/>
      <c r="F158" s="34" t="str">
        <f aca="false">IF(OR(E158="",E158="TBC"),"TBC",IFERROR(E158/VLOOKUP(D158,Settings!$A$7:$B$17,2,FALSE()),E158))</f>
        <v>TBC</v>
      </c>
      <c r="G158" s="53"/>
      <c r="H158" s="32"/>
      <c r="I158" s="54"/>
      <c r="J158" s="31"/>
    </row>
    <row r="159" customFormat="false" ht="27.75" hidden="false" customHeight="true" outlineLevel="0" collapsed="false">
      <c r="A159" s="32"/>
      <c r="B159" s="32"/>
      <c r="C159" s="32"/>
      <c r="D159" s="33"/>
      <c r="E159" s="34"/>
      <c r="F159" s="34" t="str">
        <f aca="false">IF(OR(E159="",E159="TBC"),"TBC",IFERROR(E159/VLOOKUP(D159,Settings!$A$7:$B$17,2,FALSE()),E159))</f>
        <v>TBC</v>
      </c>
      <c r="G159" s="53"/>
      <c r="H159" s="32"/>
      <c r="I159" s="54"/>
      <c r="J159" s="31"/>
    </row>
    <row r="160" customFormat="false" ht="27.75" hidden="false" customHeight="true" outlineLevel="0" collapsed="false">
      <c r="A160" s="32"/>
      <c r="B160" s="32"/>
      <c r="C160" s="32"/>
      <c r="D160" s="33"/>
      <c r="E160" s="34"/>
      <c r="F160" s="34" t="str">
        <f aca="false">IF(OR(E160="",E160="TBC"),"TBC",IFERROR(E160/VLOOKUP(D160,Settings!$A$7:$B$17,2,FALSE()),E160))</f>
        <v>TBC</v>
      </c>
      <c r="G160" s="53"/>
      <c r="H160" s="32"/>
      <c r="I160" s="54"/>
      <c r="J160" s="31"/>
    </row>
    <row r="161" customFormat="false" ht="27.75" hidden="false" customHeight="true" outlineLevel="0" collapsed="false">
      <c r="A161" s="32"/>
      <c r="B161" s="32"/>
      <c r="C161" s="32"/>
      <c r="D161" s="33"/>
      <c r="E161" s="34"/>
      <c r="F161" s="34" t="str">
        <f aca="false">IF(OR(E161="",E161="TBC"),"TBC",IFERROR(E161/VLOOKUP(D161,Settings!$A$7:$B$17,2,FALSE()),E161))</f>
        <v>TBC</v>
      </c>
      <c r="G161" s="53"/>
      <c r="H161" s="32"/>
      <c r="I161" s="54"/>
      <c r="J161" s="31"/>
    </row>
    <row r="162" customFormat="false" ht="27.75" hidden="false" customHeight="true" outlineLevel="0" collapsed="false">
      <c r="A162" s="32"/>
      <c r="B162" s="32"/>
      <c r="C162" s="32"/>
      <c r="D162" s="33"/>
      <c r="E162" s="34"/>
      <c r="F162" s="34" t="str">
        <f aca="false">IF(OR(E162="",E162="TBC"),"TBC",IFERROR(E162/VLOOKUP(D162,Settings!$A$7:$B$17,2,FALSE()),E162))</f>
        <v>TBC</v>
      </c>
      <c r="G162" s="53"/>
      <c r="H162" s="32"/>
      <c r="I162" s="54"/>
      <c r="J162" s="31"/>
    </row>
    <row r="163" customFormat="false" ht="27.75" hidden="false" customHeight="true" outlineLevel="0" collapsed="false">
      <c r="A163" s="32"/>
      <c r="B163" s="32"/>
      <c r="C163" s="32"/>
      <c r="D163" s="33"/>
      <c r="E163" s="34"/>
      <c r="F163" s="34" t="str">
        <f aca="false">IF(OR(E163="",E163="TBC"),"TBC",IFERROR(E163/VLOOKUP(D163,Settings!$A$7:$B$17,2,FALSE()),E163))</f>
        <v>TBC</v>
      </c>
      <c r="G163" s="53"/>
      <c r="H163" s="32"/>
      <c r="I163" s="54"/>
      <c r="J163" s="31"/>
    </row>
    <row r="164" customFormat="false" ht="27.75" hidden="false" customHeight="true" outlineLevel="0" collapsed="false">
      <c r="A164" s="32"/>
      <c r="B164" s="32"/>
      <c r="C164" s="32"/>
      <c r="D164" s="33"/>
      <c r="E164" s="34"/>
      <c r="F164" s="34" t="str">
        <f aca="false">IF(OR(E164="",E164="TBC"),"TBC",IFERROR(E164/VLOOKUP(D164,Settings!$A$7:$B$17,2,FALSE()),E164))</f>
        <v>TBC</v>
      </c>
      <c r="G164" s="53"/>
      <c r="H164" s="32"/>
      <c r="I164" s="54"/>
      <c r="J164" s="31"/>
    </row>
    <row r="165" customFormat="false" ht="27.75" hidden="false" customHeight="true" outlineLevel="0" collapsed="false">
      <c r="A165" s="32"/>
      <c r="B165" s="32"/>
      <c r="C165" s="32"/>
      <c r="D165" s="33"/>
      <c r="E165" s="34"/>
      <c r="F165" s="34" t="str">
        <f aca="false">IF(OR(E165="",E165="TBC"),"TBC",IFERROR(E165/VLOOKUP(D165,Settings!$A$7:$B$17,2,FALSE()),E165))</f>
        <v>TBC</v>
      </c>
      <c r="G165" s="53"/>
      <c r="H165" s="32"/>
      <c r="I165" s="54"/>
      <c r="J165" s="31"/>
    </row>
    <row r="166" customFormat="false" ht="27.75" hidden="false" customHeight="true" outlineLevel="0" collapsed="false">
      <c r="A166" s="32"/>
      <c r="B166" s="32"/>
      <c r="C166" s="32"/>
      <c r="D166" s="33"/>
      <c r="E166" s="34"/>
      <c r="F166" s="34" t="str">
        <f aca="false">IF(OR(E166="",E166="TBC"),"TBC",IFERROR(E166/VLOOKUP(D166,Settings!$A$7:$B$17,2,FALSE()),E166))</f>
        <v>TBC</v>
      </c>
      <c r="G166" s="53"/>
      <c r="H166" s="32"/>
      <c r="I166" s="54"/>
      <c r="J166" s="31"/>
    </row>
    <row r="167" customFormat="false" ht="27.75" hidden="false" customHeight="true" outlineLevel="0" collapsed="false">
      <c r="A167" s="32"/>
      <c r="B167" s="32"/>
      <c r="C167" s="32"/>
      <c r="D167" s="33"/>
      <c r="E167" s="34"/>
      <c r="F167" s="34" t="str">
        <f aca="false">IF(OR(E167="",E167="TBC"),"TBC",IFERROR(E167/VLOOKUP(D167,Settings!$A$7:$B$17,2,FALSE()),E167))</f>
        <v>TBC</v>
      </c>
      <c r="G167" s="53"/>
      <c r="H167" s="32"/>
      <c r="I167" s="54"/>
      <c r="J167" s="31"/>
    </row>
    <row r="168" customFormat="false" ht="27.75" hidden="false" customHeight="true" outlineLevel="0" collapsed="false">
      <c r="A168" s="32"/>
      <c r="B168" s="32"/>
      <c r="C168" s="32"/>
      <c r="D168" s="33"/>
      <c r="E168" s="34"/>
      <c r="F168" s="34" t="str">
        <f aca="false">IF(OR(E168="",E168="TBC"),"TBC",IFERROR(E168/VLOOKUP(D168,Settings!$A$7:$B$17,2,FALSE()),E168))</f>
        <v>TBC</v>
      </c>
      <c r="G168" s="53"/>
      <c r="H168" s="32"/>
      <c r="I168" s="54"/>
      <c r="J168" s="31"/>
    </row>
    <row r="169" customFormat="false" ht="27.75" hidden="false" customHeight="true" outlineLevel="0" collapsed="false">
      <c r="A169" s="32"/>
      <c r="B169" s="32"/>
      <c r="C169" s="32"/>
      <c r="D169" s="33"/>
      <c r="E169" s="34"/>
      <c r="F169" s="34" t="str">
        <f aca="false">IF(OR(E169="",E169="TBC"),"TBC",IFERROR(E169/VLOOKUP(D169,Settings!$A$7:$B$17,2,FALSE()),E169))</f>
        <v>TBC</v>
      </c>
      <c r="G169" s="53"/>
      <c r="H169" s="32"/>
      <c r="I169" s="54"/>
      <c r="J169" s="31"/>
    </row>
    <row r="170" customFormat="false" ht="27.75" hidden="false" customHeight="true" outlineLevel="0" collapsed="false">
      <c r="A170" s="32"/>
      <c r="B170" s="32"/>
      <c r="C170" s="32"/>
      <c r="D170" s="33"/>
      <c r="E170" s="34"/>
      <c r="F170" s="34" t="str">
        <f aca="false">IF(OR(E170="",E170="TBC"),"TBC",IFERROR(E170/VLOOKUP(D170,Settings!$A$7:$B$17,2,FALSE()),E170))</f>
        <v>TBC</v>
      </c>
      <c r="G170" s="53"/>
      <c r="H170" s="32"/>
      <c r="I170" s="54"/>
      <c r="J170" s="31"/>
    </row>
    <row r="171" customFormat="false" ht="27.75" hidden="false" customHeight="true" outlineLevel="0" collapsed="false">
      <c r="A171" s="32"/>
      <c r="B171" s="32"/>
      <c r="C171" s="32"/>
      <c r="D171" s="33"/>
      <c r="E171" s="34"/>
      <c r="F171" s="34" t="str">
        <f aca="false">IF(OR(E171="",E171="TBC"),"TBC",IFERROR(E171/VLOOKUP(D171,Settings!$A$7:$B$17,2,FALSE()),E171))</f>
        <v>TBC</v>
      </c>
      <c r="G171" s="53"/>
      <c r="H171" s="32"/>
      <c r="I171" s="54"/>
      <c r="J171" s="31"/>
    </row>
    <row r="172" customFormat="false" ht="27.75" hidden="false" customHeight="true" outlineLevel="0" collapsed="false">
      <c r="A172" s="32"/>
      <c r="B172" s="32"/>
      <c r="C172" s="32"/>
      <c r="D172" s="33"/>
      <c r="E172" s="34"/>
      <c r="F172" s="34" t="str">
        <f aca="false">IF(OR(E172="",E172="TBC"),"TBC",IFERROR(E172/VLOOKUP(D172,Settings!$A$7:$B$17,2,FALSE()),E172))</f>
        <v>TBC</v>
      </c>
      <c r="G172" s="53"/>
      <c r="H172" s="32"/>
      <c r="I172" s="54"/>
      <c r="J172" s="31"/>
    </row>
    <row r="173" customFormat="false" ht="27.75" hidden="false" customHeight="true" outlineLevel="0" collapsed="false">
      <c r="A173" s="32"/>
      <c r="B173" s="32"/>
      <c r="C173" s="32"/>
      <c r="D173" s="33"/>
      <c r="E173" s="34"/>
      <c r="F173" s="34" t="str">
        <f aca="false">IF(OR(E173="",E173="TBC"),"TBC",IFERROR(E173/VLOOKUP(D173,Settings!$A$7:$B$17,2,FALSE()),E173))</f>
        <v>TBC</v>
      </c>
      <c r="G173" s="53"/>
      <c r="H173" s="32"/>
      <c r="I173" s="54"/>
      <c r="J173" s="31"/>
    </row>
    <row r="174" customFormat="false" ht="27.75" hidden="false" customHeight="true" outlineLevel="0" collapsed="false">
      <c r="A174" s="32"/>
      <c r="B174" s="32"/>
      <c r="C174" s="32"/>
      <c r="D174" s="33"/>
      <c r="E174" s="34"/>
      <c r="F174" s="34" t="str">
        <f aca="false">IF(OR(E174="",E174="TBC"),"TBC",IFERROR(E174/VLOOKUP(D174,Settings!$A$7:$B$17,2,FALSE()),E174))</f>
        <v>TBC</v>
      </c>
      <c r="G174" s="53"/>
      <c r="H174" s="32"/>
      <c r="I174" s="54"/>
      <c r="J174" s="31"/>
    </row>
    <row r="175" customFormat="false" ht="27.75" hidden="false" customHeight="true" outlineLevel="0" collapsed="false">
      <c r="A175" s="32"/>
      <c r="B175" s="32"/>
      <c r="C175" s="32"/>
      <c r="D175" s="33"/>
      <c r="E175" s="34"/>
      <c r="F175" s="34" t="str">
        <f aca="false">IF(OR(E175="",E175="TBC"),"TBC",IFERROR(E175/VLOOKUP(D175,Settings!$A$7:$B$17,2,FALSE()),E175))</f>
        <v>TBC</v>
      </c>
      <c r="G175" s="53"/>
      <c r="H175" s="32"/>
      <c r="I175" s="54"/>
      <c r="J175" s="31"/>
    </row>
    <row r="176" customFormat="false" ht="27.75" hidden="false" customHeight="true" outlineLevel="0" collapsed="false">
      <c r="A176" s="32"/>
      <c r="B176" s="32"/>
      <c r="C176" s="32"/>
      <c r="D176" s="33"/>
      <c r="E176" s="34"/>
      <c r="F176" s="34" t="str">
        <f aca="false">IF(OR(E176="",E176="TBC"),"TBC",IFERROR(E176/VLOOKUP(D176,Settings!$A$7:$B$17,2,FALSE()),E176))</f>
        <v>TBC</v>
      </c>
      <c r="G176" s="53"/>
      <c r="H176" s="32"/>
      <c r="I176" s="54"/>
      <c r="J176" s="31"/>
    </row>
    <row r="177" customFormat="false" ht="27.75" hidden="false" customHeight="true" outlineLevel="0" collapsed="false">
      <c r="A177" s="32"/>
      <c r="B177" s="32"/>
      <c r="C177" s="32"/>
      <c r="D177" s="33"/>
      <c r="E177" s="34"/>
      <c r="F177" s="34" t="str">
        <f aca="false">IF(OR(E177="",E177="TBC"),"TBC",IFERROR(E177/VLOOKUP(D177,Settings!$A$7:$B$17,2,FALSE()),E177))</f>
        <v>TBC</v>
      </c>
      <c r="G177" s="53"/>
      <c r="H177" s="32"/>
      <c r="I177" s="54"/>
      <c r="J177" s="31"/>
    </row>
    <row r="178" customFormat="false" ht="27.75" hidden="false" customHeight="true" outlineLevel="0" collapsed="false">
      <c r="A178" s="32"/>
      <c r="B178" s="32"/>
      <c r="C178" s="32"/>
      <c r="D178" s="33"/>
      <c r="E178" s="34"/>
      <c r="F178" s="34" t="str">
        <f aca="false">IF(OR(E178="",E178="TBC"),"TBC",IFERROR(E178/VLOOKUP(D178,Settings!$A$7:$B$17,2,FALSE()),E178))</f>
        <v>TBC</v>
      </c>
      <c r="G178" s="53"/>
      <c r="H178" s="32"/>
      <c r="I178" s="54"/>
      <c r="J178" s="31"/>
    </row>
    <row r="179" customFormat="false" ht="27.75" hidden="false" customHeight="true" outlineLevel="0" collapsed="false">
      <c r="A179" s="32"/>
      <c r="B179" s="32"/>
      <c r="C179" s="32"/>
      <c r="D179" s="33"/>
      <c r="E179" s="34"/>
      <c r="F179" s="34" t="str">
        <f aca="false">IF(OR(E179="",E179="TBC"),"TBC",IFERROR(E179/VLOOKUP(D179,Settings!$A$7:$B$17,2,FALSE()),E179))</f>
        <v>TBC</v>
      </c>
      <c r="G179" s="53"/>
      <c r="H179" s="32"/>
      <c r="I179" s="54"/>
      <c r="J179" s="31"/>
    </row>
    <row r="180" customFormat="false" ht="27.75" hidden="false" customHeight="true" outlineLevel="0" collapsed="false">
      <c r="A180" s="32"/>
      <c r="B180" s="32"/>
      <c r="C180" s="32"/>
      <c r="D180" s="33"/>
      <c r="E180" s="34"/>
      <c r="F180" s="34" t="str">
        <f aca="false">IF(OR(E180="",E180="TBC"),"TBC",IFERROR(E180/VLOOKUP(D180,Settings!$A$7:$B$17,2,FALSE()),E180))</f>
        <v>TBC</v>
      </c>
      <c r="G180" s="53"/>
      <c r="H180" s="32"/>
      <c r="I180" s="54"/>
      <c r="J180" s="31"/>
    </row>
    <row r="181" customFormat="false" ht="27.75" hidden="false" customHeight="true" outlineLevel="0" collapsed="false">
      <c r="A181" s="32"/>
      <c r="B181" s="32"/>
      <c r="C181" s="32"/>
      <c r="D181" s="33"/>
      <c r="E181" s="34"/>
      <c r="F181" s="34" t="str">
        <f aca="false">IF(OR(E181="",E181="TBC"),"TBC",IFERROR(E181/VLOOKUP(D181,Settings!$A$7:$B$17,2,FALSE()),E181))</f>
        <v>TBC</v>
      </c>
      <c r="G181" s="53"/>
      <c r="H181" s="32"/>
      <c r="I181" s="54"/>
      <c r="J181" s="31"/>
    </row>
    <row r="182" customFormat="false" ht="27.75" hidden="false" customHeight="true" outlineLevel="0" collapsed="false">
      <c r="A182" s="32"/>
      <c r="B182" s="32"/>
      <c r="C182" s="32"/>
      <c r="D182" s="33"/>
      <c r="E182" s="34"/>
      <c r="F182" s="34" t="str">
        <f aca="false">IF(OR(E182="",E182="TBC"),"TBC",IFERROR(E182/VLOOKUP(D182,Settings!$A$7:$B$17,2,FALSE()),E182))</f>
        <v>TBC</v>
      </c>
      <c r="G182" s="53"/>
      <c r="H182" s="32"/>
      <c r="I182" s="54"/>
      <c r="J182" s="31"/>
    </row>
    <row r="183" customFormat="false" ht="27.75" hidden="false" customHeight="true" outlineLevel="0" collapsed="false">
      <c r="A183" s="32"/>
      <c r="B183" s="32"/>
      <c r="C183" s="32"/>
      <c r="D183" s="33"/>
      <c r="E183" s="34"/>
      <c r="F183" s="34" t="str">
        <f aca="false">IF(OR(E183="",E183="TBC"),"TBC",IFERROR(E183/VLOOKUP(D183,Settings!$A$7:$B$17,2,FALSE()),E183))</f>
        <v>TBC</v>
      </c>
      <c r="G183" s="53"/>
      <c r="H183" s="32"/>
      <c r="I183" s="54"/>
      <c r="J183" s="31"/>
    </row>
    <row r="184" customFormat="false" ht="27.75" hidden="false" customHeight="true" outlineLevel="0" collapsed="false">
      <c r="A184" s="32"/>
      <c r="B184" s="32"/>
      <c r="C184" s="32"/>
      <c r="D184" s="33"/>
      <c r="E184" s="34"/>
      <c r="F184" s="34" t="str">
        <f aca="false">IF(OR(E184="",E184="TBC"),"TBC",IFERROR(E184/VLOOKUP(D184,Settings!$A$7:$B$17,2,FALSE()),E184))</f>
        <v>TBC</v>
      </c>
      <c r="G184" s="53"/>
      <c r="H184" s="32"/>
      <c r="I184" s="54"/>
      <c r="J184" s="31"/>
    </row>
    <row r="185" customFormat="false" ht="27.75" hidden="false" customHeight="true" outlineLevel="0" collapsed="false">
      <c r="A185" s="32"/>
      <c r="B185" s="32"/>
      <c r="C185" s="32"/>
      <c r="D185" s="33"/>
      <c r="E185" s="34"/>
      <c r="F185" s="34" t="str">
        <f aca="false">IF(OR(E185="",E185="TBC"),"TBC",IFERROR(E185/VLOOKUP(D185,Settings!$A$7:$B$17,2,FALSE()),E185))</f>
        <v>TBC</v>
      </c>
      <c r="G185" s="53"/>
      <c r="H185" s="32"/>
      <c r="I185" s="54"/>
      <c r="J185" s="31"/>
    </row>
    <row r="186" customFormat="false" ht="27.75" hidden="false" customHeight="true" outlineLevel="0" collapsed="false">
      <c r="A186" s="32"/>
      <c r="B186" s="32"/>
      <c r="C186" s="32"/>
      <c r="D186" s="33"/>
      <c r="E186" s="34"/>
      <c r="F186" s="34" t="str">
        <f aca="false">IF(OR(E186="",E186="TBC"),"TBC",IFERROR(E186/VLOOKUP(D186,Settings!$A$7:$B$17,2,FALSE()),E186))</f>
        <v>TBC</v>
      </c>
      <c r="G186" s="53"/>
      <c r="H186" s="32"/>
      <c r="I186" s="54"/>
      <c r="J186" s="31"/>
    </row>
    <row r="187" customFormat="false" ht="27.75" hidden="false" customHeight="true" outlineLevel="0" collapsed="false">
      <c r="A187" s="32"/>
      <c r="B187" s="32"/>
      <c r="C187" s="32"/>
      <c r="D187" s="33"/>
      <c r="E187" s="34"/>
      <c r="F187" s="34" t="str">
        <f aca="false">IF(OR(E187="",E187="TBC"),"TBC",IFERROR(E187/VLOOKUP(D187,Settings!$A$7:$B$17,2,FALSE()),E187))</f>
        <v>TBC</v>
      </c>
      <c r="G187" s="53"/>
      <c r="H187" s="32"/>
      <c r="I187" s="54"/>
      <c r="J187" s="31"/>
    </row>
    <row r="188" customFormat="false" ht="27.75" hidden="false" customHeight="true" outlineLevel="0" collapsed="false">
      <c r="A188" s="32"/>
      <c r="B188" s="32"/>
      <c r="C188" s="32"/>
      <c r="D188" s="33"/>
      <c r="E188" s="34"/>
      <c r="F188" s="34" t="str">
        <f aca="false">IF(OR(E188="",E188="TBC"),"TBC",IFERROR(E188/VLOOKUP(D188,Settings!$A$7:$B$17,2,FALSE()),E188))</f>
        <v>TBC</v>
      </c>
      <c r="G188" s="53"/>
      <c r="H188" s="32"/>
      <c r="I188" s="54"/>
      <c r="J188" s="31"/>
    </row>
    <row r="189" customFormat="false" ht="27.75" hidden="false" customHeight="true" outlineLevel="0" collapsed="false">
      <c r="A189" s="32"/>
      <c r="B189" s="32"/>
      <c r="C189" s="32"/>
      <c r="D189" s="33"/>
      <c r="E189" s="34"/>
      <c r="F189" s="34" t="str">
        <f aca="false">IF(OR(E189="",E189="TBC"),"TBC",IFERROR(E189/VLOOKUP(D189,Settings!$A$7:$B$17,2,FALSE()),E189))</f>
        <v>TBC</v>
      </c>
      <c r="G189" s="53"/>
      <c r="H189" s="32"/>
      <c r="I189" s="54"/>
      <c r="J189" s="31"/>
    </row>
    <row r="190" customFormat="false" ht="27.75" hidden="false" customHeight="true" outlineLevel="0" collapsed="false">
      <c r="A190" s="32"/>
      <c r="B190" s="32"/>
      <c r="C190" s="32"/>
      <c r="D190" s="33"/>
      <c r="E190" s="34"/>
      <c r="F190" s="34" t="str">
        <f aca="false">IF(OR(E190="",E190="TBC"),"TBC",IFERROR(E190/VLOOKUP(D190,Settings!$A$7:$B$17,2,FALSE()),E190))</f>
        <v>TBC</v>
      </c>
      <c r="G190" s="53"/>
      <c r="H190" s="32"/>
      <c r="I190" s="54"/>
      <c r="J190" s="31"/>
    </row>
    <row r="191" customFormat="false" ht="27.75" hidden="false" customHeight="true" outlineLevel="0" collapsed="false">
      <c r="A191" s="32"/>
      <c r="B191" s="32"/>
      <c r="C191" s="32"/>
      <c r="D191" s="33"/>
      <c r="E191" s="34"/>
      <c r="F191" s="34" t="str">
        <f aca="false">IF(OR(E191="",E191="TBC"),"TBC",IFERROR(E191/VLOOKUP(D191,Settings!$A$7:$B$17,2,FALSE()),E191))</f>
        <v>TBC</v>
      </c>
      <c r="G191" s="53"/>
      <c r="H191" s="32"/>
      <c r="I191" s="54"/>
      <c r="J191" s="31"/>
    </row>
    <row r="192" customFormat="false" ht="27.75" hidden="false" customHeight="true" outlineLevel="0" collapsed="false">
      <c r="A192" s="32"/>
      <c r="B192" s="32"/>
      <c r="C192" s="32"/>
      <c r="D192" s="33"/>
      <c r="E192" s="34"/>
      <c r="F192" s="34" t="str">
        <f aca="false">IF(OR(E192="",E192="TBC"),"TBC",IFERROR(E192/VLOOKUP(D192,Settings!$A$7:$B$17,2,FALSE()),E192))</f>
        <v>TBC</v>
      </c>
      <c r="G192" s="53"/>
      <c r="H192" s="32"/>
      <c r="I192" s="54"/>
      <c r="J192" s="31"/>
    </row>
    <row r="193" customFormat="false" ht="27.75" hidden="false" customHeight="true" outlineLevel="0" collapsed="false">
      <c r="A193" s="32"/>
      <c r="B193" s="32"/>
      <c r="C193" s="32"/>
      <c r="D193" s="33"/>
      <c r="E193" s="34"/>
      <c r="F193" s="34" t="str">
        <f aca="false">IF(OR(E193="",E193="TBC"),"TBC",IFERROR(E193/VLOOKUP(D193,Settings!$A$7:$B$17,2,FALSE()),E193))</f>
        <v>TBC</v>
      </c>
      <c r="G193" s="53"/>
      <c r="H193" s="32"/>
      <c r="I193" s="54"/>
      <c r="J193" s="31"/>
    </row>
    <row r="194" customFormat="false" ht="27.75" hidden="false" customHeight="true" outlineLevel="0" collapsed="false">
      <c r="A194" s="32"/>
      <c r="B194" s="32"/>
      <c r="C194" s="32"/>
      <c r="D194" s="33"/>
      <c r="E194" s="34"/>
      <c r="F194" s="34" t="str">
        <f aca="false">IF(OR(E194="",E194="TBC"),"TBC",IFERROR(E194/VLOOKUP(D194,Settings!$A$7:$B$17,2,FALSE()),E194))</f>
        <v>TBC</v>
      </c>
      <c r="G194" s="53"/>
      <c r="H194" s="32"/>
      <c r="I194" s="54"/>
      <c r="J194" s="31"/>
    </row>
    <row r="195" customFormat="false" ht="27.75" hidden="false" customHeight="true" outlineLevel="0" collapsed="false">
      <c r="A195" s="32"/>
      <c r="B195" s="32"/>
      <c r="C195" s="32"/>
      <c r="D195" s="33"/>
      <c r="E195" s="34"/>
      <c r="F195" s="34" t="str">
        <f aca="false">IF(OR(E195="",E195="TBC"),"TBC",IFERROR(E195/VLOOKUP(D195,Settings!$A$7:$B$17,2,FALSE()),E195))</f>
        <v>TBC</v>
      </c>
      <c r="G195" s="53"/>
      <c r="H195" s="32"/>
      <c r="I195" s="54"/>
      <c r="J195" s="31"/>
    </row>
    <row r="196" customFormat="false" ht="27.75" hidden="false" customHeight="true" outlineLevel="0" collapsed="false">
      <c r="A196" s="32"/>
      <c r="B196" s="32"/>
      <c r="C196" s="32"/>
      <c r="D196" s="33"/>
      <c r="E196" s="34"/>
      <c r="F196" s="34" t="str">
        <f aca="false">IF(OR(E196="",E196="TBC"),"TBC",IFERROR(E196/VLOOKUP(D196,Settings!$A$7:$B$17,2,FALSE()),E196))</f>
        <v>TBC</v>
      </c>
      <c r="G196" s="53"/>
      <c r="H196" s="32"/>
      <c r="I196" s="54"/>
      <c r="J196" s="31"/>
    </row>
    <row r="197" customFormat="false" ht="27.75" hidden="false" customHeight="true" outlineLevel="0" collapsed="false">
      <c r="A197" s="55"/>
      <c r="B197" s="55"/>
      <c r="C197" s="55"/>
      <c r="D197" s="56"/>
      <c r="E197" s="57"/>
      <c r="F197" s="57"/>
      <c r="G197" s="58"/>
      <c r="H197" s="55"/>
      <c r="I197" s="59"/>
      <c r="J197" s="60"/>
    </row>
    <row r="198" customFormat="false" ht="27.75" hidden="false" customHeight="true" outlineLevel="0" collapsed="false">
      <c r="A198" s="55"/>
      <c r="B198" s="55"/>
      <c r="C198" s="55"/>
      <c r="D198" s="56"/>
      <c r="E198" s="57"/>
      <c r="F198" s="57"/>
      <c r="G198" s="58"/>
      <c r="H198" s="55"/>
      <c r="I198" s="59"/>
      <c r="J198" s="60"/>
    </row>
    <row r="199" customFormat="false" ht="27.75" hidden="false" customHeight="true" outlineLevel="0" collapsed="false">
      <c r="A199" s="55"/>
      <c r="B199" s="55"/>
      <c r="C199" s="55"/>
      <c r="D199" s="56"/>
      <c r="E199" s="57"/>
      <c r="F199" s="57"/>
      <c r="G199" s="58"/>
      <c r="H199" s="55"/>
      <c r="I199" s="59"/>
      <c r="J199" s="60"/>
    </row>
    <row r="200" customFormat="false" ht="27.75" hidden="false" customHeight="true" outlineLevel="0" collapsed="false">
      <c r="A200" s="55"/>
      <c r="B200" s="55"/>
      <c r="C200" s="55"/>
      <c r="D200" s="56"/>
      <c r="E200" s="57"/>
      <c r="F200" s="57"/>
      <c r="G200" s="58"/>
      <c r="H200" s="55"/>
      <c r="I200" s="59"/>
      <c r="J200" s="60"/>
    </row>
  </sheetData>
  <mergeCells count="2">
    <mergeCell ref="A1:J1"/>
    <mergeCell ref="A2:J2"/>
  </mergeCells>
  <conditionalFormatting sqref="A5:F200">
    <cfRule type="expression" priority="2" aboveAverage="0" equalAverage="0" bottom="0" percent="0" rank="0" text="" dxfId="0">
      <formula>$G5="✅ Paid"</formula>
    </cfRule>
    <cfRule type="expression" priority="3" aboveAverage="0" equalAverage="0" bottom="0" percent="0" rank="0" text="" dxfId="5">
      <formula>$G5="⏳ Pending"</formula>
    </cfRule>
    <cfRule type="expression" priority="4" aboveAverage="0" equalAverage="0" bottom="0" percent="0" rank="0" text="" dxfId="6">
      <formula>$G5="⚠ Check"</formula>
    </cfRule>
    <cfRule type="expression" priority="5" aboveAverage="0" equalAverage="0" bottom="0" percent="0" rank="0" text="" dxfId="7">
      <formula>$G5="❓ Clarify"</formula>
    </cfRule>
  </conditionalFormatting>
  <conditionalFormatting sqref="H5:I200">
    <cfRule type="expression" priority="6" aboveAverage="0" equalAverage="0" bottom="0" percent="0" rank="0" text="" dxfId="0">
      <formula>$G5="✅ Paid"</formula>
    </cfRule>
    <cfRule type="expression" priority="7" aboveAverage="0" equalAverage="0" bottom="0" percent="0" rank="0" text="" dxfId="5">
      <formula>$G5="⏳ Pending"</formula>
    </cfRule>
    <cfRule type="expression" priority="8" aboveAverage="0" equalAverage="0" bottom="0" percent="0" rank="0" text="" dxfId="6">
      <formula>$G5="⚠ Check"</formula>
    </cfRule>
    <cfRule type="expression" priority="9" aboveAverage="0" equalAverage="0" bottom="0" percent="0" rank="0" text="" dxfId="7">
      <formula>$G5="❓ Clarify"</formula>
    </cfRule>
  </conditionalFormatting>
  <conditionalFormatting sqref="G5:G200">
    <cfRule type="expression" priority="10" aboveAverage="0" equalAverage="0" bottom="0" percent="0" rank="0" text="" dxfId="8">
      <formula>$G5="✅ Paid"</formula>
    </cfRule>
    <cfRule type="expression" priority="11" aboveAverage="0" equalAverage="0" bottom="0" percent="0" rank="0" text="" dxfId="9">
      <formula>$G5="⏳ Pending"</formula>
    </cfRule>
    <cfRule type="expression" priority="12" aboveAverage="0" equalAverage="0" bottom="0" percent="0" rank="0" text="" dxfId="10">
      <formula>$G5="⚠ Check"</formula>
    </cfRule>
    <cfRule type="expression" priority="13" aboveAverage="0" equalAverage="0" bottom="0" percent="0" rank="0" text="" dxfId="11">
      <formula>$G5="❓ Clarify"</formula>
    </cfRule>
  </conditionalFormatting>
  <conditionalFormatting sqref="H5:H200">
    <cfRule type="expression" priority="14" aboveAverage="0" equalAverage="0" bottom="0" percent="0" rank="0" text="" dxfId="12">
      <formula>AND($G5="✅ Paid",$H5="")</formula>
    </cfRule>
  </conditionalFormatting>
  <dataValidations count="2">
    <dataValidation allowBlank="false" errorStyle="stop" operator="between" showDropDown="false" showErrorMessage="false" showInputMessage="false" sqref="G5:G200" type="list">
      <formula1>"⏳ Pending,✅ Paid,⚠ Partial/Check,❓ Clarify,❌ Cancelled"</formula1>
      <formula2>0</formula2>
    </dataValidation>
    <dataValidation allowBlank="false" errorStyle="stop" operator="between" showDropDown="false" showErrorMessage="false" showInputMessage="false" sqref="D5:D200" type="list">
      <formula1>"AED,CNY,USD,EUR,SGD,RUB,INR,HKD,SAR,GBP"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2"/>
  </cols>
  <sheetData>
    <row r="1" customFormat="false" ht="30" hidden="false" customHeight="true" outlineLevel="0" collapsed="false">
      <c r="A1" s="2" t="s">
        <v>302</v>
      </c>
      <c r="B1" s="2"/>
    </row>
    <row r="2" customFormat="false" ht="15" hidden="false" customHeight="true" outlineLevel="0" collapsed="false">
      <c r="A2" s="3" t="s">
        <v>303</v>
      </c>
      <c r="B2" s="3"/>
    </row>
    <row r="4" customFormat="false" ht="18" hidden="false" customHeight="true" outlineLevel="0" collapsed="false">
      <c r="A4" s="61" t="s">
        <v>304</v>
      </c>
      <c r="B4" s="61"/>
    </row>
    <row r="5" customFormat="false" ht="33.75" hidden="false" customHeight="true" outlineLevel="0" collapsed="false">
      <c r="A5" s="62" t="s">
        <v>305</v>
      </c>
      <c r="B5" s="62"/>
    </row>
    <row r="6" customFormat="false" ht="7.5" hidden="false" customHeight="true" outlineLevel="0" collapsed="false">
      <c r="A6" s="63"/>
      <c r="B6" s="63"/>
    </row>
    <row r="7" customFormat="false" ht="18" hidden="false" customHeight="true" outlineLevel="0" collapsed="false">
      <c r="A7" s="61" t="s">
        <v>306</v>
      </c>
      <c r="B7" s="61"/>
    </row>
    <row r="8" customFormat="false" ht="19.5" hidden="false" customHeight="true" outlineLevel="0" collapsed="false">
      <c r="A8" s="64" t="s">
        <v>307</v>
      </c>
      <c r="B8" s="65" t="s">
        <v>308</v>
      </c>
    </row>
    <row r="9" customFormat="false" ht="19.5" hidden="false" customHeight="true" outlineLevel="0" collapsed="false">
      <c r="A9" s="64" t="s">
        <v>309</v>
      </c>
      <c r="B9" s="65" t="s">
        <v>310</v>
      </c>
    </row>
    <row r="10" customFormat="false" ht="19.5" hidden="false" customHeight="true" outlineLevel="0" collapsed="false">
      <c r="A10" s="64" t="s">
        <v>311</v>
      </c>
      <c r="B10" s="65" t="s">
        <v>312</v>
      </c>
    </row>
    <row r="11" customFormat="false" ht="19.5" hidden="false" customHeight="true" outlineLevel="0" collapsed="false">
      <c r="A11" s="64" t="s">
        <v>313</v>
      </c>
      <c r="B11" s="65" t="s">
        <v>314</v>
      </c>
    </row>
    <row r="12" customFormat="false" ht="7.5" hidden="false" customHeight="true" outlineLevel="0" collapsed="false">
      <c r="A12" s="63"/>
      <c r="B12" s="63"/>
    </row>
    <row r="13" customFormat="false" ht="18" hidden="false" customHeight="true" outlineLevel="0" collapsed="false">
      <c r="A13" s="61" t="s">
        <v>315</v>
      </c>
      <c r="B13" s="61"/>
    </row>
    <row r="14" customFormat="false" ht="19.5" hidden="false" customHeight="true" outlineLevel="0" collapsed="false">
      <c r="A14" s="66" t="s">
        <v>316</v>
      </c>
      <c r="B14" s="67" t="s">
        <v>317</v>
      </c>
    </row>
    <row r="15" customFormat="false" ht="19.5" hidden="false" customHeight="true" outlineLevel="0" collapsed="false">
      <c r="A15" s="68" t="s">
        <v>318</v>
      </c>
      <c r="B15" s="69" t="s">
        <v>319</v>
      </c>
    </row>
    <row r="16" customFormat="false" ht="19.5" hidden="false" customHeight="true" outlineLevel="0" collapsed="false">
      <c r="A16" s="70" t="s">
        <v>320</v>
      </c>
      <c r="B16" s="71" t="s">
        <v>321</v>
      </c>
    </row>
    <row r="17" customFormat="false" ht="19.5" hidden="false" customHeight="true" outlineLevel="0" collapsed="false">
      <c r="A17" s="72" t="s">
        <v>322</v>
      </c>
      <c r="B17" s="73" t="s">
        <v>323</v>
      </c>
    </row>
    <row r="18" customFormat="false" ht="19.5" hidden="false" customHeight="true" outlineLevel="0" collapsed="false">
      <c r="A18" s="74" t="s">
        <v>324</v>
      </c>
      <c r="B18" s="75" t="s">
        <v>325</v>
      </c>
    </row>
    <row r="19" customFormat="false" ht="7.5" hidden="false" customHeight="true" outlineLevel="0" collapsed="false">
      <c r="A19" s="63"/>
      <c r="B19" s="63"/>
    </row>
    <row r="20" customFormat="false" ht="18" hidden="false" customHeight="true" outlineLevel="0" collapsed="false">
      <c r="A20" s="61" t="s">
        <v>326</v>
      </c>
      <c r="B20" s="61"/>
    </row>
    <row r="21" customFormat="false" ht="19.5" hidden="false" customHeight="true" outlineLevel="0" collapsed="false">
      <c r="A21" s="38" t="s">
        <v>327</v>
      </c>
      <c r="B21" s="76" t="s">
        <v>328</v>
      </c>
    </row>
    <row r="22" customFormat="false" ht="19.5" hidden="false" customHeight="true" outlineLevel="0" collapsed="false">
      <c r="A22" s="38" t="s">
        <v>329</v>
      </c>
      <c r="B22" s="76" t="s">
        <v>330</v>
      </c>
    </row>
    <row r="23" customFormat="false" ht="19.5" hidden="false" customHeight="true" outlineLevel="0" collapsed="false">
      <c r="A23" s="38" t="s">
        <v>331</v>
      </c>
      <c r="B23" s="76" t="s">
        <v>332</v>
      </c>
    </row>
    <row r="24" customFormat="false" ht="19.5" hidden="false" customHeight="true" outlineLevel="0" collapsed="false">
      <c r="A24" s="38" t="s">
        <v>333</v>
      </c>
      <c r="B24" s="76" t="s">
        <v>334</v>
      </c>
    </row>
    <row r="25" customFormat="false" ht="19.5" hidden="false" customHeight="true" outlineLevel="0" collapsed="false">
      <c r="A25" s="38" t="s">
        <v>335</v>
      </c>
      <c r="B25" s="76" t="s">
        <v>336</v>
      </c>
    </row>
    <row r="26" customFormat="false" ht="7.5" hidden="false" customHeight="true" outlineLevel="0" collapsed="false">
      <c r="A26" s="63"/>
      <c r="B26" s="63"/>
    </row>
    <row r="27" customFormat="false" ht="18" hidden="false" customHeight="true" outlineLevel="0" collapsed="false">
      <c r="A27" s="61" t="s">
        <v>337</v>
      </c>
      <c r="B27" s="61"/>
    </row>
    <row r="28" customFormat="false" ht="19.5" hidden="false" customHeight="true" outlineLevel="0" collapsed="false">
      <c r="A28" s="38" t="s">
        <v>327</v>
      </c>
      <c r="B28" s="76" t="s">
        <v>338</v>
      </c>
    </row>
    <row r="29" customFormat="false" ht="19.5" hidden="false" customHeight="true" outlineLevel="0" collapsed="false">
      <c r="A29" s="38" t="s">
        <v>329</v>
      </c>
      <c r="B29" s="76" t="s">
        <v>339</v>
      </c>
    </row>
    <row r="30" customFormat="false" ht="27.75" hidden="false" customHeight="true" outlineLevel="0" collapsed="false">
      <c r="A30" s="38" t="s">
        <v>331</v>
      </c>
      <c r="B30" s="76" t="s">
        <v>340</v>
      </c>
    </row>
    <row r="31" customFormat="false" ht="27.75" hidden="false" customHeight="true" outlineLevel="0" collapsed="false">
      <c r="A31" s="38" t="s">
        <v>333</v>
      </c>
      <c r="B31" s="76" t="s">
        <v>341</v>
      </c>
    </row>
    <row r="32" customFormat="false" ht="19.5" hidden="false" customHeight="true" outlineLevel="0" collapsed="false">
      <c r="A32" s="38" t="s">
        <v>335</v>
      </c>
      <c r="B32" s="76" t="s">
        <v>342</v>
      </c>
    </row>
    <row r="33" customFormat="false" ht="7.5" hidden="false" customHeight="true" outlineLevel="0" collapsed="false">
      <c r="A33" s="63"/>
      <c r="B33" s="63"/>
    </row>
    <row r="34" customFormat="false" ht="18" hidden="false" customHeight="true" outlineLevel="0" collapsed="false">
      <c r="A34" s="61" t="s">
        <v>343</v>
      </c>
      <c r="B34" s="61"/>
    </row>
    <row r="35" customFormat="false" ht="19.5" hidden="false" customHeight="true" outlineLevel="0" collapsed="false">
      <c r="A35" s="77" t="s">
        <v>344</v>
      </c>
      <c r="B35" s="78" t="s">
        <v>345</v>
      </c>
    </row>
    <row r="36" customFormat="false" ht="19.5" hidden="false" customHeight="true" outlineLevel="0" collapsed="false">
      <c r="A36" s="77" t="s">
        <v>344</v>
      </c>
      <c r="B36" s="78" t="s">
        <v>346</v>
      </c>
    </row>
    <row r="37" customFormat="false" ht="27.75" hidden="false" customHeight="true" outlineLevel="0" collapsed="false">
      <c r="A37" s="77" t="s">
        <v>344</v>
      </c>
      <c r="B37" s="78" t="s">
        <v>347</v>
      </c>
    </row>
    <row r="38" customFormat="false" ht="7.5" hidden="false" customHeight="true" outlineLevel="0" collapsed="false">
      <c r="A38" s="63"/>
      <c r="B38" s="63"/>
    </row>
    <row r="39" customFormat="false" ht="18" hidden="false" customHeight="true" outlineLevel="0" collapsed="false">
      <c r="A39" s="61" t="s">
        <v>348</v>
      </c>
      <c r="B39" s="61"/>
    </row>
    <row r="40" customFormat="false" ht="19.5" hidden="false" customHeight="true" outlineLevel="0" collapsed="false">
      <c r="A40" s="38" t="s">
        <v>327</v>
      </c>
      <c r="B40" s="76" t="s">
        <v>349</v>
      </c>
    </row>
    <row r="41" customFormat="false" ht="19.5" hidden="false" customHeight="true" outlineLevel="0" collapsed="false">
      <c r="A41" s="38" t="s">
        <v>329</v>
      </c>
      <c r="B41" s="76" t="s">
        <v>350</v>
      </c>
    </row>
    <row r="42" customFormat="false" ht="27.75" hidden="false" customHeight="true" outlineLevel="0" collapsed="false">
      <c r="A42" s="38" t="s">
        <v>331</v>
      </c>
      <c r="B42" s="76" t="s">
        <v>351</v>
      </c>
    </row>
    <row r="43" customFormat="false" ht="19.5" hidden="false" customHeight="true" outlineLevel="0" collapsed="false">
      <c r="A43" s="38" t="s">
        <v>333</v>
      </c>
      <c r="B43" s="76" t="s">
        <v>352</v>
      </c>
    </row>
    <row r="44" customFormat="false" ht="7.5" hidden="false" customHeight="true" outlineLevel="0" collapsed="false">
      <c r="A44" s="63"/>
      <c r="B44" s="63"/>
    </row>
    <row r="45" customFormat="false" ht="18" hidden="false" customHeight="true" outlineLevel="0" collapsed="false">
      <c r="A45" s="61" t="s">
        <v>353</v>
      </c>
      <c r="B45" s="61"/>
    </row>
    <row r="46" customFormat="false" ht="19.5" hidden="false" customHeight="true" outlineLevel="0" collapsed="false">
      <c r="A46" s="79" t="s">
        <v>354</v>
      </c>
      <c r="B46" s="75" t="s">
        <v>355</v>
      </c>
    </row>
    <row r="47" customFormat="false" ht="19.5" hidden="false" customHeight="true" outlineLevel="0" collapsed="false">
      <c r="A47" s="80" t="s">
        <v>356</v>
      </c>
      <c r="B47" s="69" t="s">
        <v>357</v>
      </c>
    </row>
    <row r="48" customFormat="false" ht="19.5" hidden="false" customHeight="true" outlineLevel="0" collapsed="false">
      <c r="A48" s="80" t="s">
        <v>358</v>
      </c>
      <c r="B48" s="69" t="s">
        <v>359</v>
      </c>
    </row>
    <row r="49" customFormat="false" ht="19.5" hidden="false" customHeight="true" outlineLevel="0" collapsed="false">
      <c r="A49" s="80" t="s">
        <v>360</v>
      </c>
      <c r="B49" s="69" t="s">
        <v>361</v>
      </c>
    </row>
    <row r="50" customFormat="false" ht="15" hidden="false" customHeight="true" outlineLevel="0" collapsed="false">
      <c r="A50" s="1" t="s">
        <v>362</v>
      </c>
      <c r="B50" s="1" t="s">
        <v>363</v>
      </c>
    </row>
  </sheetData>
  <mergeCells count="11">
    <mergeCell ref="A1:B1"/>
    <mergeCell ref="A2:B2"/>
    <mergeCell ref="A4:B4"/>
    <mergeCell ref="A5:B5"/>
    <mergeCell ref="A7:B7"/>
    <mergeCell ref="A13:B13"/>
    <mergeCell ref="A20:B20"/>
    <mergeCell ref="A27:B27"/>
    <mergeCell ref="A34:B34"/>
    <mergeCell ref="A39:B39"/>
    <mergeCell ref="A45:B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6"/>
    <col collapsed="false" customWidth="true" hidden="false" outlineLevel="0" max="5" min="5" style="1" width="2"/>
  </cols>
  <sheetData>
    <row r="1" customFormat="false" ht="30" hidden="false" customHeight="true" outlineLevel="0" collapsed="false">
      <c r="A1" s="2" t="s">
        <v>364</v>
      </c>
      <c r="B1" s="2"/>
      <c r="C1" s="2"/>
      <c r="D1" s="2"/>
      <c r="E1" s="2"/>
    </row>
    <row r="2" customFormat="false" ht="15" hidden="false" customHeight="true" outlineLevel="0" collapsed="false">
      <c r="A2" s="3" t="s">
        <v>365</v>
      </c>
      <c r="B2" s="3"/>
      <c r="C2" s="3"/>
      <c r="D2" s="3"/>
      <c r="E2" s="3"/>
    </row>
    <row r="3" customFormat="false" ht="7.5" hidden="false" customHeight="true" outlineLevel="0" collapsed="false"/>
    <row r="4" customFormat="false" ht="21.75" hidden="false" customHeight="true" outlineLevel="0" collapsed="false">
      <c r="A4" s="81" t="s">
        <v>366</v>
      </c>
      <c r="B4" s="82" t="s">
        <v>367</v>
      </c>
      <c r="C4" s="83" t="n">
        <v>0</v>
      </c>
      <c r="D4" s="84" t="s">
        <v>368</v>
      </c>
      <c r="E4" s="85"/>
    </row>
    <row r="5" customFormat="false" ht="7.5" hidden="false" customHeight="true" outlineLevel="0" collapsed="false"/>
    <row r="6" customFormat="false" ht="19.5" hidden="false" customHeight="true" outlineLevel="0" collapsed="false">
      <c r="A6" s="81" t="s">
        <v>369</v>
      </c>
      <c r="B6" s="81" t="s">
        <v>370</v>
      </c>
      <c r="C6" s="81" t="s">
        <v>371</v>
      </c>
      <c r="D6" s="81" t="s">
        <v>372</v>
      </c>
      <c r="E6" s="86"/>
    </row>
    <row r="7" customFormat="false" ht="18" hidden="false" customHeight="true" outlineLevel="0" collapsed="false">
      <c r="A7" s="87" t="s">
        <v>35</v>
      </c>
      <c r="B7" s="88" t="n">
        <v>3.6725</v>
      </c>
      <c r="C7" s="89" t="s">
        <v>43</v>
      </c>
      <c r="D7" s="89" t="s">
        <v>373</v>
      </c>
      <c r="E7" s="85"/>
    </row>
    <row r="8" customFormat="false" ht="18" hidden="false" customHeight="true" outlineLevel="0" collapsed="false">
      <c r="A8" s="87" t="s">
        <v>41</v>
      </c>
      <c r="B8" s="88" t="n">
        <v>7.012512</v>
      </c>
      <c r="C8" s="89" t="s">
        <v>188</v>
      </c>
      <c r="D8" s="89" t="s">
        <v>374</v>
      </c>
      <c r="E8" s="85"/>
    </row>
    <row r="9" customFormat="false" ht="18" hidden="false" customHeight="true" outlineLevel="0" collapsed="false">
      <c r="A9" s="90" t="s">
        <v>120</v>
      </c>
      <c r="B9" s="91" t="n">
        <v>1</v>
      </c>
      <c r="C9" s="89" t="s">
        <v>375</v>
      </c>
      <c r="D9" s="89" t="s">
        <v>375</v>
      </c>
      <c r="E9" s="85"/>
    </row>
    <row r="10" customFormat="false" ht="18" hidden="false" customHeight="true" outlineLevel="0" collapsed="false">
      <c r="A10" s="87" t="s">
        <v>133</v>
      </c>
      <c r="B10" s="88" t="n">
        <v>0.8434</v>
      </c>
      <c r="C10" s="89" t="s">
        <v>128</v>
      </c>
      <c r="D10" s="89" t="s">
        <v>376</v>
      </c>
      <c r="E10" s="85"/>
    </row>
    <row r="11" customFormat="false" ht="18" hidden="false" customHeight="true" outlineLevel="0" collapsed="false">
      <c r="A11" s="87" t="s">
        <v>96</v>
      </c>
      <c r="B11" s="88" t="n">
        <v>1.2535</v>
      </c>
      <c r="C11" s="89" t="s">
        <v>87</v>
      </c>
      <c r="D11" s="89" t="s">
        <v>377</v>
      </c>
      <c r="E11" s="85"/>
    </row>
    <row r="12" customFormat="false" ht="18" hidden="false" customHeight="true" outlineLevel="0" collapsed="false">
      <c r="A12" s="87" t="s">
        <v>46</v>
      </c>
      <c r="B12" s="88" t="n">
        <v>78.8527</v>
      </c>
      <c r="C12" s="89" t="s">
        <v>65</v>
      </c>
      <c r="D12" s="89" t="s">
        <v>378</v>
      </c>
      <c r="E12" s="85"/>
    </row>
    <row r="13" customFormat="false" ht="18" hidden="false" customHeight="true" outlineLevel="0" collapsed="false">
      <c r="A13" s="87" t="s">
        <v>137</v>
      </c>
      <c r="B13" s="88" t="n">
        <v>90.63</v>
      </c>
      <c r="C13" s="89" t="s">
        <v>128</v>
      </c>
      <c r="D13" s="89" t="s">
        <v>379</v>
      </c>
      <c r="E13" s="85"/>
    </row>
    <row r="14" customFormat="false" ht="18" hidden="false" customHeight="true" outlineLevel="0" collapsed="false">
      <c r="A14" s="87" t="s">
        <v>380</v>
      </c>
      <c r="B14" s="88" t="n">
        <v>7.78</v>
      </c>
      <c r="C14" s="89" t="s">
        <v>381</v>
      </c>
      <c r="D14" s="89" t="s">
        <v>382</v>
      </c>
      <c r="E14" s="85"/>
    </row>
    <row r="15" customFormat="false" ht="18" hidden="false" customHeight="true" outlineLevel="0" collapsed="false">
      <c r="A15" s="87" t="s">
        <v>383</v>
      </c>
      <c r="B15" s="88" t="n">
        <v>3.75</v>
      </c>
      <c r="C15" s="89" t="s">
        <v>375</v>
      </c>
      <c r="D15" s="89" t="s">
        <v>384</v>
      </c>
      <c r="E15" s="85"/>
    </row>
    <row r="16" customFormat="false" ht="18" hidden="false" customHeight="true" outlineLevel="0" collapsed="false">
      <c r="A16" s="87" t="s">
        <v>385</v>
      </c>
      <c r="B16" s="88" t="n">
        <v>0.788</v>
      </c>
      <c r="C16" s="89" t="s">
        <v>381</v>
      </c>
      <c r="D16" s="89" t="s">
        <v>382</v>
      </c>
      <c r="E16" s="85"/>
    </row>
    <row r="17" customFormat="false" ht="7.5" hidden="false" customHeight="true" outlineLevel="0" collapsed="false">
      <c r="A17" s="92" t="s">
        <v>300</v>
      </c>
      <c r="B17" s="93" t="n">
        <v>0.37286</v>
      </c>
    </row>
    <row r="18" customFormat="false" ht="19.5" hidden="false" customHeight="true" outlineLevel="0" collapsed="false">
      <c r="A18" s="81" t="s">
        <v>386</v>
      </c>
      <c r="B18" s="81" t="s">
        <v>387</v>
      </c>
      <c r="C18" s="81" t="s">
        <v>30</v>
      </c>
      <c r="D18" s="86"/>
      <c r="E18" s="86"/>
    </row>
    <row r="19" customFormat="false" ht="18" hidden="false" customHeight="true" outlineLevel="0" collapsed="false">
      <c r="A19" s="94" t="s">
        <v>32</v>
      </c>
      <c r="B19" s="95" t="n">
        <v>0</v>
      </c>
      <c r="C19" s="96" t="s">
        <v>388</v>
      </c>
      <c r="D19" s="85"/>
      <c r="E19" s="85"/>
    </row>
    <row r="20" customFormat="false" ht="18" hidden="false" customHeight="true" outlineLevel="0" collapsed="false">
      <c r="A20" s="94" t="s">
        <v>38</v>
      </c>
      <c r="B20" s="95" t="n">
        <v>0.005</v>
      </c>
      <c r="C20" s="96" t="s">
        <v>389</v>
      </c>
      <c r="D20" s="85"/>
      <c r="E20" s="85"/>
    </row>
    <row r="21" customFormat="false" ht="18" hidden="false" customHeight="true" outlineLevel="0" collapsed="false">
      <c r="A21" s="94" t="s">
        <v>59</v>
      </c>
      <c r="B21" s="95" t="n">
        <v>0.005</v>
      </c>
      <c r="C21" s="96" t="s">
        <v>390</v>
      </c>
      <c r="D21" s="85"/>
      <c r="E21" s="85"/>
    </row>
    <row r="22" customFormat="false" ht="18" hidden="false" customHeight="true" outlineLevel="0" collapsed="false">
      <c r="A22" s="94" t="s">
        <v>105</v>
      </c>
      <c r="B22" s="95" t="n">
        <v>0</v>
      </c>
      <c r="C22" s="96" t="s">
        <v>391</v>
      </c>
      <c r="D22" s="85"/>
      <c r="E22" s="85"/>
    </row>
    <row r="23" customFormat="false" ht="18" hidden="false" customHeight="true" outlineLevel="0" collapsed="false">
      <c r="A23" s="94" t="s">
        <v>392</v>
      </c>
      <c r="B23" s="95" t="n">
        <v>0</v>
      </c>
      <c r="C23" s="96" t="s">
        <v>393</v>
      </c>
      <c r="D23" s="85"/>
      <c r="E23" s="85"/>
    </row>
    <row r="25" customFormat="false" ht="27.75" hidden="false" customHeight="true" outlineLevel="0" collapsed="false">
      <c r="A25" s="97" t="s">
        <v>394</v>
      </c>
      <c r="B25" s="97"/>
      <c r="C25" s="97"/>
      <c r="D25" s="97"/>
      <c r="E25" s="97"/>
    </row>
  </sheetData>
  <mergeCells count="3">
    <mergeCell ref="A1:E1"/>
    <mergeCell ref="A2:E2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2026-02-25T07:59:15Z</dcterms:created>
  <dc:creator>openpyxl</dc:creator>
  <dc:description/>
  <dc:language>en-US</dc:language>
  <cp:lastModifiedBy>Aleksandr Minkin</cp:lastModifiedBy>
  <dcterms:modified xsi:type="dcterms:W3CDTF">2026-02-25T18:58:55Z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