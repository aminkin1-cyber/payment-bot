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Transactions" sheetId="2" state="visible" r:id="rId4"/>
    <sheet name="Invoices" sheetId="3" state="visible" r:id="rId5"/>
    <sheet name="Instructions" sheetId="4" state="visible" r:id="rId6"/>
    <sheet name="Setting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<sst xmlns="http://schemas.openxmlformats.org/spreadsheetml/2006/main" count="696" uniqueCount="395">
  <si>
    <t xml:space="preserve">📊 DASHBOARD</t>
  </si>
  <si>
    <t xml:space="preserve">  ⚡ AGENT BALANCE</t>
  </si>
  <si>
    <t xml:space="preserve">Current Agent Balance (USD)</t>
  </si>
  <si>
    <t xml:space="preserve">Starting Balance</t>
  </si>
  <si>
    <t xml:space="preserve">  📋 INVOICES</t>
  </si>
  <si>
    <t xml:space="preserve">Invoices Submitted — total count</t>
  </si>
  <si>
    <t xml:space="preserve">✅ Paid — count</t>
  </si>
  <si>
    <t xml:space="preserve">✅ Paid — USD total (approx)</t>
  </si>
  <si>
    <t xml:space="preserve">⏳ Pending — count</t>
  </si>
  <si>
    <t xml:space="preserve">⏳ Pending — USD total (known amounts)</t>
  </si>
  <si>
    <t xml:space="preserve">❓ Clarify / ⚠ Check — count</t>
  </si>
  <si>
    <t xml:space="preserve">📊 Total Unpaid — all statuses (USD equiv, projected)</t>
  </si>
  <si>
    <t xml:space="preserve">  💸 TRANSACTIONS SUMMARY</t>
  </si>
  <si>
    <t xml:space="preserve">Total Deposits to Agent (Gross USD)</t>
  </si>
  <si>
    <t xml:space="preserve">Total Cash Received from Agent (Gross USD)</t>
  </si>
  <si>
    <t xml:space="preserve">Total Payments Made (Gross USD)</t>
  </si>
  <si>
    <t xml:space="preserve">❓ Unknown — needs clarification (USD)</t>
  </si>
  <si>
    <t xml:space="preserve">💳 TRANSACTIONS</t>
  </si>
  <si>
    <t xml:space="preserve">Columns G–K are formulas (yellow) — only fill A–F and L. Override G or I if agent used a different rate.</t>
  </si>
  <si>
    <t xml:space="preserve">Date</t>
  </si>
  <si>
    <t xml:space="preserve">Type</t>
  </si>
  <si>
    <t xml:space="preserve">Description</t>
  </si>
  <si>
    <t xml:space="preserve">Payee</t>
  </si>
  <si>
    <t xml:space="preserve">CCY</t>
  </si>
  <si>
    <t xml:space="preserve">Amount</t>
  </si>
  <si>
    <t xml:space="preserve">FX Rate
(1 USD=X)</t>
  </si>
  <si>
    <t xml:space="preserve">Gross USD</t>
  </si>
  <si>
    <t xml:space="preserve">Comm %</t>
  </si>
  <si>
    <t xml:space="preserve">Net USD</t>
  </si>
  <si>
    <t xml:space="preserve">Balance USD</t>
  </si>
  <si>
    <t xml:space="preserve">Notes</t>
  </si>
  <si>
    <t xml:space="preserve">~Dec 2025</t>
  </si>
  <si>
    <t xml:space="preserve">Deposit</t>
  </si>
  <si>
    <t xml:space="preserve">50M AED deposit to agent</t>
  </si>
  <si>
    <t xml:space="preserve">(us)</t>
  </si>
  <si>
    <t xml:space="preserve">AED</t>
  </si>
  <si>
    <t xml:space="preserve">Opening deposit. Agent confirms $13,614,703.88 in 25.12 balance stmt</t>
  </si>
  <si>
    <t xml:space="preserve">22.12.2025</t>
  </si>
  <si>
    <t xml:space="preserve">Payment</t>
  </si>
  <si>
    <t xml:space="preserve">Chem Ron hire SH-TC2401-22 → Polaris Marine</t>
  </si>
  <si>
    <t xml:space="preserve">POLARIS MARINE LIMITED</t>
  </si>
  <si>
    <t xml:space="preserve">CNY</t>
  </si>
  <si>
    <t xml:space="preserve">Jiaren Marine / PING AN Bank. 25.12 balance confirmed</t>
  </si>
  <si>
    <t xml:space="preserve">25.12.2025</t>
  </si>
  <si>
    <t xml:space="preserve">RUB payment — prior deal (ЦБ 78.4368)</t>
  </si>
  <si>
    <t xml:space="preserve">TRADE X MIDDLE EAST FZCO</t>
  </si>
  <si>
    <t xml:space="preserve">RUB</t>
  </si>
  <si>
    <t xml:space="preserve">Balance = $0 after this. 25.12 balance stmt</t>
  </si>
  <si>
    <t xml:space="preserve">~Late Dec</t>
  </si>
  <si>
    <t xml:space="preserve">CNY 79,993,251 — Nexus → Elitesphere PingAn</t>
  </si>
  <si>
    <t xml:space="preserve">RCVD confirmed 30.12.2025</t>
  </si>
  <si>
    <t xml:space="preserve">29.12.2025</t>
  </si>
  <si>
    <t xml:space="preserve">Jiangsu Jinyangtong Shipping (Solhut Intercontinental)</t>
  </si>
  <si>
    <t xml:space="preserve">JIANGSU JINYANGTONG SHIPPING</t>
  </si>
  <si>
    <t xml:space="preserve">Solhut HK. BofChina. Ref PI9HK3587KA01546</t>
  </si>
  <si>
    <t xml:space="preserve">06.01.2026</t>
  </si>
  <si>
    <t xml:space="preserve">Chem Ron 23rd hire SH-TC2401-23 → Polaris Marine</t>
  </si>
  <si>
    <t xml:space="preserve">Bank of Shanghai → PingAn. USD 696k equiv</t>
  </si>
  <si>
    <t xml:space="preserve">07.01.2026</t>
  </si>
  <si>
    <t xml:space="preserve">Cash Out</t>
  </si>
  <si>
    <t xml:space="preserve">Cash 2,000,000 AED → Wladimir</t>
  </si>
  <si>
    <t xml:space="preserve">Hoja delivered. Wladimir confirmed</t>
  </si>
  <si>
    <t xml:space="preserve">08.01.2026</t>
  </si>
  <si>
    <t xml:space="preserve">Cash 1,650,000 AED → Alex</t>
  </si>
  <si>
    <t xml:space="preserve">Hoja delivered. Alex confirmed</t>
  </si>
  <si>
    <t xml:space="preserve">14.01.2026</t>
  </si>
  <si>
    <t xml:space="preserve">RUB → Trade X (=$5M USD equiv, ЦБ 78.8527)</t>
  </si>
  <si>
    <t xml:space="preserve">Masadan Trading payer. ИСПОЛНЕНО 14.01.2026</t>
  </si>
  <si>
    <t xml:space="preserve">Cash 3,000,000 AED → office</t>
  </si>
  <si>
    <t xml:space="preserve">Delivered to office. Wladimir/Alex received</t>
  </si>
  <si>
    <t xml:space="preserve">Al Watan RAK — inv 2000166506</t>
  </si>
  <si>
    <t xml:space="preserve">AL WATAN RAK</t>
  </si>
  <si>
    <t xml:space="preserve">Inv date 31.12.2025. RAWRIMA payer. Ref 1164015</t>
  </si>
  <si>
    <t xml:space="preserve">Lux Lifestyles — LUX-INV2025-228</t>
  </si>
  <si>
    <t xml:space="preserve">LUX LIFESTYLES TRADING LLC</t>
  </si>
  <si>
    <t xml:space="preserve">Event support 01.12.2025. RAWRIMA payer. Ref 1163835</t>
  </si>
  <si>
    <t xml:space="preserve">Lux Lifestyles — LUX-INV2026-004</t>
  </si>
  <si>
    <t xml:space="preserve">Lutron programming. RAWRIMA payer. Ref 1163838</t>
  </si>
  <si>
    <t xml:space="preserve">16.01.2026</t>
  </si>
  <si>
    <t xml:space="preserve">MENA Terminals Fujairah — PoF batch Dec 2025 (5 inv)</t>
  </si>
  <si>
    <t xml:space="preserve">MENA TERMINALS FUJAIRAH LLC FZC</t>
  </si>
  <si>
    <t xml:space="preserve">TROVECO payer. Ref 7202386567064989</t>
  </si>
  <si>
    <t xml:space="preserve">Quill Corporate — inv 143-122025</t>
  </si>
  <si>
    <t xml:space="preserve">QUILL CORPORATE SERVICES LLC</t>
  </si>
  <si>
    <t xml:space="preserve">M&amp;M DMCC Change of Director. RAWRIMA payer. Ref 1165703</t>
  </si>
  <si>
    <t xml:space="preserve">Quill Corporate — inv 93-012026</t>
  </si>
  <si>
    <t xml:space="preserve">Change of Manager &amp; Secretary DMCC. Ref 1165881</t>
  </si>
  <si>
    <t xml:space="preserve">21.01.2026</t>
  </si>
  <si>
    <t xml:space="preserve">JBC Management DMCC — cheque 5,000 AED</t>
  </si>
  <si>
    <t xml:space="preserve">JBC MANAGEMENT DMCC</t>
  </si>
  <si>
    <t xml:space="preserve">Cheque issued and delivered to office</t>
  </si>
  <si>
    <t xml:space="preserve">Al Bastaki — INV-2563 visa cancellation</t>
  </si>
  <si>
    <t xml:space="preserve">AL BASTAKI BUSINESS SERVICES LLC</t>
  </si>
  <si>
    <t xml:space="preserve">Visa cancellation Dmitrii Prokhorov. BALKEMY. FT26021H8D45</t>
  </si>
  <si>
    <t xml:space="preserve">RSM Stone Forest — inv 2480+2481+2482 (3 SG cos)</t>
  </si>
  <si>
    <t xml:space="preserve">RSM STONE FOREST CORPSERVE PTE LTD</t>
  </si>
  <si>
    <t xml:space="preserve">SGD</t>
  </si>
  <si>
    <t xml:space="preserve">NBAD→DBS. FT26021C826J. SGD/AED rate 2.93</t>
  </si>
  <si>
    <t xml:space="preserve">Cash 17,000 SGD in Singapore</t>
  </si>
  <si>
    <t xml:space="preserve">Alex received in SG. Photo token confirmed</t>
  </si>
  <si>
    <t xml:space="preserve">22.01.2026</t>
  </si>
  <si>
    <t xml:space="preserve">Aqua Reach — Balkemy internal transfer</t>
  </si>
  <si>
    <t xml:space="preserve">AQUA REACH GENERAL TRADING LLC</t>
  </si>
  <si>
    <t xml:space="preserve">Balkemy → Aqua Reach Banque Misr</t>
  </si>
  <si>
    <t xml:space="preserve">03.02.2026</t>
  </si>
  <si>
    <t xml:space="preserve">Cash In</t>
  </si>
  <si>
    <t xml:space="preserve">Egor sent 90,500 AED to Balkemy (Banque Misr)</t>
  </si>
  <si>
    <t xml:space="preserve">Egor confirmed sent 03.02.2026</t>
  </si>
  <si>
    <t xml:space="preserve">29.01.2026</t>
  </si>
  <si>
    <t xml:space="preserve">Cash 2,000,000 AED → Alex</t>
  </si>
  <si>
    <t xml:space="preserve">Alex received</t>
  </si>
  <si>
    <t xml:space="preserve">28.01.2026</t>
  </si>
  <si>
    <t xml:space="preserve">Quill Corporate — 12 invoices batch 55,453.14 AED</t>
  </si>
  <si>
    <t xml:space="preserve">Oct-Dec 2025 batch. BALKEMY payer. Ref 1177202</t>
  </si>
  <si>
    <t xml:space="preserve">04.02.2026</t>
  </si>
  <si>
    <t xml:space="preserve">Fu Hao Trading — Crown Powerful China mktg svcs</t>
  </si>
  <si>
    <t xml:space="preserve">FU HAO TRADING LIMITED</t>
  </si>
  <si>
    <t xml:space="preserve">HKD 550,250 = CNY 496,460. Elitesphere PingAn</t>
  </si>
  <si>
    <t xml:space="preserve">Menuristic — INV-2601-005 cloud hosting Jan-Mar 26</t>
  </si>
  <si>
    <t xml:space="preserve">MENURISTIC PTE LTD</t>
  </si>
  <si>
    <t xml:space="preserve">USD</t>
  </si>
  <si>
    <t xml:space="preserve"> Was SGD invoice — agent paid in USD. FT260346180T</t>
  </si>
  <si>
    <t xml:space="preserve">10.02.2026</t>
  </si>
  <si>
    <t xml:space="preserve">CNY 19,500,000 — Nexus → Elitesphere PingAn</t>
  </si>
  <si>
    <t xml:space="preserve">RCVD confirmed 10.02.2026</t>
  </si>
  <si>
    <t xml:space="preserve">12.02.2026</t>
  </si>
  <si>
    <t xml:space="preserve">Cash 4,000,000 AED → Alex</t>
  </si>
  <si>
    <t xml:space="preserve">Hoja delivered. Alex received</t>
  </si>
  <si>
    <t xml:space="preserve">17.02.2026</t>
  </si>
  <si>
    <t xml:space="preserve">RSM Stone Forest — 7 invoices 8,596.35 SGD</t>
  </si>
  <si>
    <t xml:space="preserve">Invs 1407-1411,1462,1549. SGD/AED 2.977</t>
  </si>
  <si>
    <t xml:space="preserve">Kinglet Ltd Cyprus — inv 014/02/2026 KYC services</t>
  </si>
  <si>
    <t xml:space="preserve">KINGLET LTD</t>
  </si>
  <si>
    <t xml:space="preserve">EUR</t>
  </si>
  <si>
    <t xml:space="preserve">Gornik Trading. FT26047G4HBJ</t>
  </si>
  <si>
    <t xml:space="preserve">1,178,000 INR. Harry salary</t>
  </si>
  <si>
    <t xml:space="preserve">Harry</t>
  </si>
  <si>
    <t xml:space="preserve">INR</t>
  </si>
  <si>
    <t xml:space="preserve">In 17.02 balance stmt. No invoice/payee in chat. Clarify with agent.</t>
  </si>
  <si>
    <t xml:space="preserve">100,000 EUR ($120k). Pilots Monaco</t>
  </si>
  <si>
    <t xml:space="preserve">Pilots Monaco</t>
  </si>
  <si>
    <t xml:space="preserve">20.02.2026</t>
  </si>
  <si>
    <t xml:space="preserve">50,000 USD sent to agent — confirmed received 23.02</t>
  </si>
  <si>
    <t xml:space="preserve">Pacs.008 OR26022000001768. Hoja confirmed 23.02.2026</t>
  </si>
  <si>
    <t xml:space="preserve">24.02.2026</t>
  </si>
  <si>
    <t xml:space="preserve">BWB — RAKEZ inv 2053 HoN 4-company renewal</t>
  </si>
  <si>
    <t xml:space="preserve">BUSINESS WITHOUT BORDERS LLC</t>
  </si>
  <si>
    <t xml:space="preserve">BALKEMY payer. NBAD→Emirates Islamic. FT260556HH32</t>
  </si>
  <si>
    <t xml:space="preserve">BWB — RAKEZ inv 2054 Al Salaam Solutions renewal</t>
  </si>
  <si>
    <t xml:space="preserve">BALKEMY payer. FT260554C5DC</t>
  </si>
  <si>
    <t xml:space="preserve">BWB — IFZA inv 2075 share transfer Muhammed Fazal</t>
  </si>
  <si>
    <t xml:space="preserve">BALKEMY payer. FT26055VFJC0</t>
  </si>
  <si>
    <t xml:space="preserve">50,000 USD sent to agent — confirmed received 25.02</t>
  </si>
  <si>
    <t xml:space="preserve">MAXIMUS WAY TRADING PTE LTD</t>
  </si>
  <si>
    <t xml:space="preserve">Pacs.008 OR26022400002178. Agent confirmed 25.02.2026 ('Поступление подтверждаем'). Recipient: MAXIMUS WAY TRADING PTE LTD. Myanmar.</t>
  </si>
  <si>
    <t xml:space="preserve">25.02.2026</t>
  </si>
  <si>
    <t xml:space="preserve">INV 4410 — 5YZ W L L-2 (invoice 1,980 BHD, paid in AED)</t>
  </si>
  <si>
    <t xml:space="preserve">5YZ W L L-2</t>
  </si>
  <si>
    <t xml:space="preserve">Original invoice in 1,980 BHD. Agent paid in AED. SWIFT confirmed.</t>
  </si>
  <si>
    <t xml:space="preserve">Cash delivered to agent in Singapore</t>
  </si>
  <si>
    <t xml:space="preserve">AGENT (Singapore)</t>
  </si>
  <si>
    <t xml:space="preserve">SGD cash handed to agent in Singapore, rate 1:1 to USD</t>
  </si>
  <si>
    <t xml:space="preserve">📋 INVOICE TRACKER</t>
  </si>
  <si>
    <t xml:space="preserve">All submitted invoices — Status dropdown: ⏳ Pending / ✅ Paid / ⚠ Check / ❓ Clarify</t>
  </si>
  <si>
    <t xml:space="preserve">Date Submitted</t>
  </si>
  <si>
    <t xml:space="preserve">Invoice #</t>
  </si>
  <si>
    <t xml:space="preserve">Payee / Beneficiary</t>
  </si>
  <si>
    <t xml:space="preserve">Inv. Amount</t>
  </si>
  <si>
    <t xml:space="preserve">USD Equiv.</t>
  </si>
  <si>
    <t xml:space="preserve">Status</t>
  </si>
  <si>
    <t xml:space="preserve">Date Paid</t>
  </si>
  <si>
    <t xml:space="preserve">Payment Reference</t>
  </si>
  <si>
    <t xml:space="preserve">11.12.2025</t>
  </si>
  <si>
    <t xml:space="preserve">ASTENO-2025-AS480</t>
  </si>
  <si>
    <t xml:space="preserve">ASTENO LOGISTICS FZCO</t>
  </si>
  <si>
    <t xml:space="preserve">✅ Paid</t>
  </si>
  <si>
    <t xml:space="preserve">15.12.2025</t>
  </si>
  <si>
    <t xml:space="preserve">MISR-AED-ASTENO</t>
  </si>
  <si>
    <t xml:space="preserve">Cash deal + 0.5% fee. Via OILQO SERVICES</t>
  </si>
  <si>
    <t xml:space="preserve">16.12.2025</t>
  </si>
  <si>
    <t xml:space="preserve">Jiaren (unnamed)</t>
  </si>
  <si>
    <t xml:space="preserve">PingAn/VESSANG</t>
  </si>
  <si>
    <t xml:space="preserve">Jiaren Marine Chem Ron inv</t>
  </si>
  <si>
    <t xml:space="preserve">(Solhut TT)</t>
  </si>
  <si>
    <t xml:space="preserve">PI9HK3587KA01546</t>
  </si>
  <si>
    <t xml:space="preserve">Solhut HK. Bank of China</t>
  </si>
  <si>
    <t xml:space="preserve">SH-TC2401-23</t>
  </si>
  <si>
    <t xml:space="preserve">4,356,737.02 CNY.pdf</t>
  </si>
  <si>
    <t xml:space="preserve">Chem Ron 23rd hire. USD 696k equiv</t>
  </si>
  <si>
    <t xml:space="preserve">13.01.2026</t>
  </si>
  <si>
    <t xml:space="preserve">2000166506</t>
  </si>
  <si>
    <t xml:space="preserve">Ref 1164015</t>
  </si>
  <si>
    <t xml:space="preserve">Inv date 31.12.2025</t>
  </si>
  <si>
    <t xml:space="preserve">LUX-INV2025-228</t>
  </si>
  <si>
    <t xml:space="preserve">Ref 1163835</t>
  </si>
  <si>
    <t xml:space="preserve">Event support 01.12.2025</t>
  </si>
  <si>
    <t xml:space="preserve">LUX-INV2026-004</t>
  </si>
  <si>
    <t xml:space="preserve">Ref 1163838</t>
  </si>
  <si>
    <t xml:space="preserve">Lutron programming balance</t>
  </si>
  <si>
    <t xml:space="preserve">PoF batch Dec 2025 (5 inv)</t>
  </si>
  <si>
    <t xml:space="preserve">Ref 7202386567064989</t>
  </si>
  <si>
    <t xml:space="preserve">5 invoices. TROVECO payer</t>
  </si>
  <si>
    <t xml:space="preserve">15.01.2026</t>
  </si>
  <si>
    <t xml:space="preserve">143-122025</t>
  </si>
  <si>
    <t xml:space="preserve">Ref 1165703</t>
  </si>
  <si>
    <t xml:space="preserve">M&amp;M DMCC Change of Director</t>
  </si>
  <si>
    <t xml:space="preserve">93-012026</t>
  </si>
  <si>
    <t xml:space="preserve">Ref 1165881</t>
  </si>
  <si>
    <t xml:space="preserve">Change of Manager &amp; Secretary DMCC</t>
  </si>
  <si>
    <t xml:space="preserve">19.01.2026</t>
  </si>
  <si>
    <t xml:space="preserve">CS/26/01/2480</t>
  </si>
  <si>
    <t xml:space="preserve">FT26021C826J</t>
  </si>
  <si>
    <t xml:space="preserve">MMI — ACRA filing</t>
  </si>
  <si>
    <t xml:space="preserve">CS/26/01/2481</t>
  </si>
  <si>
    <t xml:space="preserve">MMR — ACRA filing</t>
  </si>
  <si>
    <t xml:space="preserve">CS/26/01/2482</t>
  </si>
  <si>
    <t xml:space="preserve">MMT — total 3 invs = 932.70 SGD</t>
  </si>
  <si>
    <t xml:space="preserve">INV-2563</t>
  </si>
  <si>
    <t xml:space="preserve">FT26021H8D45</t>
  </si>
  <si>
    <t xml:space="preserve">Visa cancellation Dmitrii Prokhorov</t>
  </si>
  <si>
    <t xml:space="preserve">20.01.2026</t>
  </si>
  <si>
    <t xml:space="preserve">(JBC cheque)</t>
  </si>
  <si>
    <t xml:space="preserve">Cheque</t>
  </si>
  <si>
    <t xml:space="preserve">Cheque delivered to office</t>
  </si>
  <si>
    <t xml:space="preserve">(Aqua Reach transfer)</t>
  </si>
  <si>
    <t xml:space="preserve">Balkemy_2,121,212.17 AED</t>
  </si>
  <si>
    <t xml:space="preserve">Internal Balkemy → Aqua Reach Banque Misr</t>
  </si>
  <si>
    <t xml:space="preserve">27.01.2026</t>
  </si>
  <si>
    <t xml:space="preserve">238-102025 + 11 others</t>
  </si>
  <si>
    <t xml:space="preserve">Ref 1177202</t>
  </si>
  <si>
    <t xml:space="preserve">Batch 12 invoices Oct-Dec 2025. BALKEMY payer</t>
  </si>
  <si>
    <t xml:space="preserve">FI.PP_230125FHT-CROWN</t>
  </si>
  <si>
    <t xml:space="preserve">FU HAO TRADING LIMITED (HK)</t>
  </si>
  <si>
    <t xml:space="preserve">CNY TT / Elitesphere</t>
  </si>
  <si>
    <t xml:space="preserve">China mktg svcs. Crown Powerful. HKD 550,250</t>
  </si>
  <si>
    <t xml:space="preserve">30.01.2026</t>
  </si>
  <si>
    <t xml:space="preserve">INV-2601-005</t>
  </si>
  <si>
    <t xml:space="preserve">FT260346180T</t>
  </si>
  <si>
    <t xml:space="preserve">⚠ Was SGD invoice — agent paid in USD</t>
  </si>
  <si>
    <t xml:space="preserve">11.02.2026</t>
  </si>
  <si>
    <t xml:space="preserve">CS/26/01/1407</t>
  </si>
  <si>
    <t xml:space="preserve">FT26047DC1BF+FT2604752HCH</t>
  </si>
  <si>
    <t xml:space="preserve">Myanmar Petroleum Svcs</t>
  </si>
  <si>
    <t xml:space="preserve">CS/26/01/1408</t>
  </si>
  <si>
    <t xml:space="preserve">MMI</t>
  </si>
  <si>
    <t xml:space="preserve">CS/26/01/1409</t>
  </si>
  <si>
    <t xml:space="preserve">MMR</t>
  </si>
  <si>
    <t xml:space="preserve">CS/26/01/1410</t>
  </si>
  <si>
    <t xml:space="preserve">MMT</t>
  </si>
  <si>
    <t xml:space="preserve">CS/26/01/1411+1462+1549</t>
  </si>
  <si>
    <t xml:space="preserve">MME+Maritime Shipping+Asia Shipco. Total 7 = 8,596.35 SGD</t>
  </si>
  <si>
    <t xml:space="preserve">014/02/2026</t>
  </si>
  <si>
    <t xml:space="preserve">KINGLET LTD (Cyprus)</t>
  </si>
  <si>
    <t xml:space="preserve">FT26047G4HBJ</t>
  </si>
  <si>
    <t xml:space="preserve">KYC/admin Gornik Trading. Nicosia.</t>
  </si>
  <si>
    <t xml:space="preserve">18.02.2026</t>
  </si>
  <si>
    <t xml:space="preserve">2053_RO</t>
  </si>
  <si>
    <t xml:space="preserve">FT260556HH32</t>
  </si>
  <si>
    <t xml:space="preserve">HoN RAKEZ L&amp;L renewal 4 companies</t>
  </si>
  <si>
    <t xml:space="preserve">2054_RO</t>
  </si>
  <si>
    <t xml:space="preserve">FT260554C5DC</t>
  </si>
  <si>
    <t xml:space="preserve">HoN L&amp;L renewal Al Salaam Solutions</t>
  </si>
  <si>
    <t xml:space="preserve">2075_RO</t>
  </si>
  <si>
    <t xml:space="preserve">FT26055VFJC0</t>
  </si>
  <si>
    <t xml:space="preserve">Share transfer IFZA — Muhammed Fazal</t>
  </si>
  <si>
    <t xml:space="preserve">19.02.2026</t>
  </si>
  <si>
    <t xml:space="preserve">DNMUW-487333+562223+563799</t>
  </si>
  <si>
    <t xml:space="preserve">DUBAI INSURANCE COMPANY</t>
  </si>
  <si>
    <t xml:space="preserve">⏳ Pending</t>
  </si>
  <si>
    <t xml:space="preserve">3 invoices. Balkemy NOC letter in progress</t>
  </si>
  <si>
    <t xml:space="preserve">D-01-25-25172+D-01-26-01144</t>
  </si>
  <si>
    <t xml:space="preserve">ORIENT INSURANCE</t>
  </si>
  <si>
    <t xml:space="preserve">2 invoices. Balkemy NOC letter in progress</t>
  </si>
  <si>
    <t xml:space="preserve">FTIV000638</t>
  </si>
  <si>
    <t xml:space="preserve">BERNARD</t>
  </si>
  <si>
    <t xml:space="preserve">PoF SOA dd 2026-02-09</t>
  </si>
  <si>
    <t xml:space="preserve">NOC letter template sent</t>
  </si>
  <si>
    <t xml:space="preserve">inv000347</t>
  </si>
  <si>
    <t xml:space="preserve">FOIZ MENA</t>
  </si>
  <si>
    <t xml:space="preserve">FOIZ MENA inv000347 — amount from invoice PDF</t>
  </si>
  <si>
    <t xml:space="preserve">GL-1589</t>
  </si>
  <si>
    <t xml:space="preserve">AMA GLOBAL AUDITING</t>
  </si>
  <si>
    <t xml:space="preserve">AMA GLOBAL GL-1589 — amount from invoice PDF</t>
  </si>
  <si>
    <t xml:space="preserve">DXL-111843</t>
  </si>
  <si>
    <t xml:space="preserve">GEOCHEM</t>
  </si>
  <si>
    <t xml:space="preserve">GEOCHEM DXL-111843 — amount from invoice PDF</t>
  </si>
  <si>
    <t xml:space="preserve">2000170135</t>
  </si>
  <si>
    <t xml:space="preserve">AL WATAN</t>
  </si>
  <si>
    <t xml:space="preserve">AL WATAN 2000170135 — amount from invoice PDF</t>
  </si>
  <si>
    <t xml:space="preserve">GP Shipping batch</t>
  </si>
  <si>
    <t xml:space="preserve">GOOD PARTNER SHIPPING CO LTD (KR)</t>
  </si>
  <si>
    <t xml:space="preserve">Kookmin Bank Korea</t>
  </si>
  <si>
    <t xml:space="preserve">23.02.2026</t>
  </si>
  <si>
    <t xml:space="preserve">(TD International)</t>
  </si>
  <si>
    <t xml:space="preserve">TD INTERNATIONAL LLC</t>
  </si>
  <si>
    <t xml:space="preserve">Chase Bank CHASUS33. From BALKEMY</t>
  </si>
  <si>
    <t xml:space="preserve">INV 4410 (5YZ W L L-2)</t>
  </si>
  <si>
    <t xml:space="preserve">5YZ W.L.L</t>
  </si>
  <si>
    <t xml:space="preserve">BHD</t>
  </si>
  <si>
    <t xml:space="preserve">Original invoice 1,980 BHD. Agent paid in AED 19,502.10 (see Transactions row 43)</t>
  </si>
  <si>
    <t xml:space="preserve">📖 INSTRUCTIONS</t>
  </si>
  <si>
    <t xml:space="preserve">How to use this model — read once before you start</t>
  </si>
  <si>
    <t xml:space="preserve">OVERVIEW</t>
  </si>
  <si>
    <t xml:space="preserve">This model tracks all activity with your financial agent: invoice payments, deposits, cash deliveries, and the running USD balance.</t>
  </si>
  <si>
    <t xml:space="preserve">🗂  SHEETS</t>
  </si>
  <si>
    <t xml:space="preserve">📊 Dashboard</t>
  </si>
  <si>
    <t xml:space="preserve">Auto summary — current balance, invoice counts, totals. Nothing to fill in.</t>
  </si>
  <si>
    <t xml:space="preserve">💳 Transactions</t>
  </si>
  <si>
    <t xml:space="preserve">Main data entry sheet. Every money movement goes here.</t>
  </si>
  <si>
    <t xml:space="preserve">📋 Invoices</t>
  </si>
  <si>
    <t xml:space="preserve">Track every invoice: submitted, pending, paid.</t>
  </si>
  <si>
    <t xml:space="preserve">⚙ Settings</t>
  </si>
  <si>
    <t xml:space="preserve">FX rates and commission defaults — update here only.</t>
  </si>
  <si>
    <t xml:space="preserve">🎨  COLOR CODE</t>
  </si>
  <si>
    <t xml:space="preserve">🔵 Blue cells</t>
  </si>
  <si>
    <t xml:space="preserve">Your input — type freely here.</t>
  </si>
  <si>
    <t xml:space="preserve">🟡 Yellow cells</t>
  </si>
  <si>
    <t xml:space="preserve">Formulas — do NOT type here, they auto-calculate.</t>
  </si>
  <si>
    <t xml:space="preserve">🟢 Green rows</t>
  </si>
  <si>
    <t xml:space="preserve">Deposits / paid invoices.</t>
  </si>
  <si>
    <t xml:space="preserve">🟠 Orange rows</t>
  </si>
  <si>
    <t xml:space="preserve">Cash Out (agent delivers cash to you).</t>
  </si>
  <si>
    <t xml:space="preserve">🔴 Red rows</t>
  </si>
  <si>
    <t xml:space="preserve">Unknown transactions — need clarification.</t>
  </si>
  <si>
    <t xml:space="preserve">📥  ADDING A NEW INVOICE</t>
  </si>
  <si>
    <t xml:space="preserve">1.</t>
  </si>
  <si>
    <t xml:space="preserve">Go to 📋 Invoices · scroll to the first empty row.</t>
  </si>
  <si>
    <t xml:space="preserve">2.</t>
  </si>
  <si>
    <t xml:space="preserve">Fill in: Date · Invoice # · Payee · Currency · Amount.</t>
  </si>
  <si>
    <t xml:space="preserve">3.</t>
  </si>
  <si>
    <t xml:space="preserve">USD Equiv (col F) calculates automatically from Settings rates.</t>
  </si>
  <si>
    <t xml:space="preserve">4.</t>
  </si>
  <si>
    <t xml:space="preserve">Set Status dropdown → "⏳ Pending".</t>
  </si>
  <si>
    <t xml:space="preserve">5.</t>
  </si>
  <si>
    <t xml:space="preserve">When paid: MUST fill Date Paid (col H) AND Payment Reference (col I) in the SAME operation as changing Status → "✅ Paid". Never leave Date Paid empty if status is Paid.</t>
  </si>
  <si>
    <t xml:space="preserve">💸  ADDING A NEW TRANSACTION</t>
  </si>
  <si>
    <t xml:space="preserve">Go to 💳 Transactions · scroll to the first empty row.</t>
  </si>
  <si>
    <t xml:space="preserve">Fill: Date · Type (dropdown) · Description · Payee · CCY · Amount.</t>
  </si>
  <si>
    <t xml:space="preserve">FX Rate (col G) auto-fills from Settings. Override if agent used a different rate — just type over it.</t>
  </si>
  <si>
    <t xml:space="preserve">Comm % (col I) auto-fills by type. Override if needed (e.g. RUB = 0.4%).</t>
  </si>
  <si>
    <t xml:space="preserve">Gross USD, Net USD, and Balance all calculate automatically.</t>
  </si>
  <si>
    <t xml:space="preserve">🔄  UPDATING FX RATES</t>
  </si>
  <si>
    <t xml:space="preserve">→</t>
  </si>
  <si>
    <t xml:space="preserve">When agent sends a new balance statement: go to ⚙ Settings, update the blue Rate cells.</t>
  </si>
  <si>
    <t xml:space="preserve">New transaction rows will pick up the new rate automatically.</t>
  </si>
  <si>
    <t xml:space="preserve">Historical rows keep their original rate (intentional — matches agent's calculation).</t>
  </si>
  <si>
    <t xml:space="preserve">⚖  RECONCILING AGENT BALANCE STATEMENTS</t>
  </si>
  <si>
    <t xml:space="preserve">Compare agent's ending balance vs 'Current Agent Balance' on Dashboard.</t>
  </si>
  <si>
    <t xml:space="preserve">If different: find transactions in agent's statement not yet in your sheet.</t>
  </si>
  <si>
    <t xml:space="preserve">For anything without a clear invoice: Type = "❓ Unknown". Do NOT delete — ask agent first.</t>
  </si>
  <si>
    <t xml:space="preserve">Small differences (&lt; $500) are usually rounding — note in Notes column.</t>
  </si>
  <si>
    <t xml:space="preserve">⚠  RULES — DO NOT BREAK</t>
  </si>
  <si>
    <t xml:space="preserve">RUB commission is 0.4%, not 0.5%</t>
  </si>
  <si>
    <t xml:space="preserve">→ After adding a RUB row, manually set Comm % (col I) to 0.4%</t>
  </si>
  <si>
    <t xml:space="preserve">Do not insert or delete columns</t>
  </si>
  <si>
    <t xml:space="preserve">→ Formulas rely on column positions. Add/delete ROWS only.</t>
  </si>
  <si>
    <t xml:space="preserve">Do not rename sheets</t>
  </si>
  <si>
    <t xml:space="preserve">→ Formulas reference sheets by name.</t>
  </si>
  <si>
    <t xml:space="preserve">Do not type in yellow cells</t>
  </si>
  <si>
    <t xml:space="preserve">→ Yellow = formula. Typing over it will break the calculation.</t>
  </si>
  <si>
    <t xml:space="preserve">Date Paid is mandatory when Status = ✅ Paid</t>
  </si>
  <si>
    <t xml:space="preserve">→ If Status is ✅ Paid but Date Paid is empty — cell turns RED. Fix immediately: add the payment date from Transactions.</t>
  </si>
  <si>
    <t xml:space="preserve">⚙ SETTINGS</t>
  </si>
  <si>
    <t xml:space="preserve">FX rates &amp; commission defaults — update here, all sheets auto-recalculate</t>
  </si>
  <si>
    <t xml:space="preserve">STARTING BALANCE (USD)</t>
  </si>
  <si>
    <t xml:space="preserve">Enter here →</t>
  </si>
  <si>
    <t xml:space="preserve">← Balance before the first row in Transactions</t>
  </si>
  <si>
    <t xml:space="preserve">FX RATES  (1 USD = X)</t>
  </si>
  <si>
    <t xml:space="preserve">Rate</t>
  </si>
  <si>
    <t xml:space="preserve">Last updated</t>
  </si>
  <si>
    <t xml:space="preserve">Source</t>
  </si>
  <si>
    <t xml:space="preserve">Agent balance stmt · stable</t>
  </si>
  <si>
    <t xml:space="preserve">Agent balance stmt · update each time</t>
  </si>
  <si>
    <t xml:space="preserve">Fixed</t>
  </si>
  <si>
    <t xml:space="preserve">Implied from agent stmt (2,800 EUR = $3,319.78)</t>
  </si>
  <si>
    <t xml:space="preserve">Cross-rate: 2.93 SGD/AED ÷ 3.6725</t>
  </si>
  <si>
    <t xml:space="preserve">ЦБ rate · update per agent statement</t>
  </si>
  <si>
    <t xml:space="preserve">Implied from agent stmt</t>
  </si>
  <si>
    <t xml:space="preserve">HKD</t>
  </si>
  <si>
    <t xml:space="preserve">Approx</t>
  </si>
  <si>
    <t xml:space="preserve">Market</t>
  </si>
  <si>
    <t xml:space="preserve">SAR</t>
  </si>
  <si>
    <t xml:space="preserve">Fixed peg</t>
  </si>
  <si>
    <t xml:space="preserve">GBP</t>
  </si>
  <si>
    <t xml:space="preserve">USDT</t>
  </si>
  <si>
    <t xml:space="preserve">1:1 USD (stablecoin)</t>
  </si>
  <si>
    <t xml:space="preserve">TRANSACTION TYPE</t>
  </si>
  <si>
    <t xml:space="preserve">Default Comm %</t>
  </si>
  <si>
    <t xml:space="preserve">No fee — we fund the agent</t>
  </si>
  <si>
    <t xml:space="preserve">Standard 0.5%</t>
  </si>
  <si>
    <t xml:space="preserve">Standard 0.5% — large deals may differ, override per row</t>
  </si>
  <si>
    <t xml:space="preserve">No fee — we send funds to agent</t>
  </si>
  <si>
    <t xml:space="preserve">❓ Unknown</t>
  </si>
  <si>
    <t xml:space="preserve">Set to 0 until clarified</t>
  </si>
  <si>
    <t xml:space="preserve">⚠  TO UPDATE: change blue Rate cells above when agent sends a new balance statement. New Transaction rows will auto-pick up updated rates. Historical rows keep their original rate (intentional).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</si>
</sst>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#,##0;\(#,##0\);\-"/>
    <numFmt numFmtId="167" formatCode="0.00000"/>
    <numFmt numFmtId="168" formatCode="#,##0.00"/>
    <numFmt numFmtId="169" formatCode="0.0%"/>
    <numFmt numFmtId="170" formatCode="0.000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1F7A1F"/>
      <name val="Arial"/>
      <family val="0"/>
      <charset val="1"/>
    </font>
    <font>
      <sz val="9"/>
      <color rgb="FF0000CC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505050"/>
      <name val="Arial"/>
      <family val="0"/>
      <charset val="1"/>
    </font>
    <font>
      <sz val="9"/>
      <color rgb="FF7B3F00"/>
      <name val="Arial"/>
      <family val="0"/>
      <charset val="1"/>
    </font>
    <font>
      <sz val="9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7A1F"/>
      <name val="Arial"/>
      <family val="0"/>
      <charset val="1"/>
    </font>
    <font>
      <sz val="8"/>
      <color rgb="FF1F7A1F"/>
      <name val="Arial"/>
      <family val="0"/>
      <charset val="1"/>
    </font>
    <font>
      <b val="true"/>
      <sz val="9"/>
      <color rgb="FF7B3F00"/>
      <name val="Arial"/>
      <family val="0"/>
      <charset val="1"/>
    </font>
    <font>
      <sz val="8"/>
      <color rgb="FF7B3F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D6E4F0"/>
      <name val="Arial"/>
      <family val="0"/>
      <charset val="1"/>
    </font>
    <font>
      <b val="true"/>
      <sz val="9"/>
      <color rgb="FF0000CC"/>
      <name val="Arial"/>
      <family val="0"/>
      <charset val="1"/>
    </font>
    <font>
      <i val="true"/>
      <sz val="8"/>
      <color rgb="FF606060"/>
      <name val="Arial"/>
      <family val="0"/>
      <charset val="1"/>
    </font>
    <font>
      <sz val="8"/>
      <color rgb="FF606060"/>
      <name val="Arial"/>
      <family val="0"/>
      <charset val="1"/>
    </font>
    <font>
      <sz val="8"/>
      <color rgb="FF1F386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DEBD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6E4F0"/>
        </patternFill>
      </fill>
    </dxf>
    <dxf>
      <font>
        <name val="Arial"/>
        <charset val="1"/>
        <family val="0"/>
        <color rgb="FF000000"/>
        <sz val="9"/>
      </font>
      <fill>
        <patternFill>
          <bgColor rgb="FFFFFFFF"/>
        </patternFill>
      </fill>
    </dxf>
    <dxf>
      <font>
        <name val="Arial"/>
        <charset val="1"/>
        <family val="0"/>
        <color rgb="FF505050"/>
        <sz val="8"/>
      </font>
      <fill>
        <patternFill>
          <bgColor rgb="FFF2F2F2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2"/>
    <col collapsed="false" customWidth="true" hidden="false" outlineLevel="0" max="5" min="5" style="1" width="18"/>
    <col collapsed="false" customWidth="true" hidden="false" outlineLevel="0" max="6" min="6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21.75" hidden="false" customHeight="true" outlineLevel="0" collapsed="false">
      <c r="B4" s="4" t="s">
        <v>1</v>
      </c>
      <c r="C4" s="4"/>
      <c r="D4" s="4"/>
      <c r="E4" s="4"/>
      <c r="F4" s="4"/>
    </row>
    <row r="5" customFormat="false" ht="24" hidden="false" customHeight="true" outlineLevel="0" collapsed="false">
      <c r="B5" s="5" t="s">
        <v>2</v>
      </c>
      <c r="C5" s="5"/>
      <c r="D5" s="5"/>
      <c r="E5" s="6" t="n">
        <f aca="false">IFERROR(LOOKUP(2,1/(Transactions!$K$5:$K$300&lt;&gt;""),Transactions!$K$5:$K$300),Settings!$C$4)</f>
        <v>4443774.18</v>
      </c>
      <c r="F5" s="6"/>
    </row>
    <row r="6" customFormat="false" ht="24" hidden="false" customHeight="true" outlineLevel="0" collapsed="false">
      <c r="B6" s="7" t="s">
        <v>3</v>
      </c>
      <c r="C6" s="7"/>
      <c r="D6" s="7"/>
      <c r="E6" s="8" t="n">
        <f aca="false">Settings!$C$4</f>
        <v>0</v>
      </c>
      <c r="F6" s="8"/>
    </row>
    <row r="7" customFormat="false" ht="6" hidden="false" customHeight="true" outlineLevel="0" collapsed="false"/>
    <row r="8" customFormat="false" ht="21.75" hidden="false" customHeight="true" outlineLevel="0" collapsed="false">
      <c r="B8" s="4" t="s">
        <v>4</v>
      </c>
      <c r="C8" s="4"/>
      <c r="D8" s="4"/>
      <c r="E8" s="4"/>
      <c r="F8" s="4"/>
    </row>
    <row r="9" customFormat="false" ht="24" hidden="false" customHeight="true" outlineLevel="0" collapsed="false">
      <c r="B9" s="7" t="s">
        <v>5</v>
      </c>
      <c r="C9" s="7"/>
      <c r="D9" s="7"/>
      <c r="E9" s="9" t="n">
        <f aca="false">COUNTA(Invoices!$A$5:$A$200)</f>
        <v>39</v>
      </c>
      <c r="F9" s="9"/>
    </row>
    <row r="10" customFormat="false" ht="24" hidden="false" customHeight="true" outlineLevel="0" collapsed="false">
      <c r="B10" s="7" t="s">
        <v>6</v>
      </c>
      <c r="C10" s="7"/>
      <c r="D10" s="7"/>
      <c r="E10" s="10" t="n">
        <f aca="false">COUNTIF(Invoices!$G$5:$G$200,"✅ Paid")</f>
        <v>29</v>
      </c>
      <c r="F10" s="10"/>
    </row>
    <row r="11" customFormat="false" ht="24" hidden="false" customHeight="true" outlineLevel="0" collapsed="false">
      <c r="B11" s="7" t="s">
        <v>7</v>
      </c>
      <c r="C11" s="7"/>
      <c r="D11" s="7"/>
      <c r="E11" s="11" t="n">
        <f aca="false">SUMIF(Invoices!$G$5:$G$200,"✅ Paid",Invoices!$F$5:$F$200)</f>
        <v>1921335.88</v>
      </c>
      <c r="F11" s="11"/>
    </row>
    <row r="12" customFormat="false" ht="24" hidden="false" customHeight="true" outlineLevel="0" collapsed="false">
      <c r="B12" s="7" t="s">
        <v>8</v>
      </c>
      <c r="C12" s="7"/>
      <c r="D12" s="7"/>
      <c r="E12" s="12" t="n">
        <f aca="false">COUNTIF(Invoices!$G$5:$G$200,"⏳ Pending")</f>
        <v>10</v>
      </c>
      <c r="F12" s="12"/>
    </row>
    <row r="13" customFormat="false" ht="24" hidden="false" customHeight="true" outlineLevel="0" collapsed="false">
      <c r="B13" s="7" t="s">
        <v>9</v>
      </c>
      <c r="C13" s="7"/>
      <c r="D13" s="7"/>
      <c r="E13" s="6" t="n">
        <f aca="false">SUMIF(Invoices!$G$5:$G$200,"⏳ Pending",Invoices!$F$5:$F$200)</f>
        <v>367820.64</v>
      </c>
      <c r="F13" s="6"/>
    </row>
    <row r="14" customFormat="false" ht="24" hidden="false" customHeight="true" outlineLevel="0" collapsed="false">
      <c r="B14" s="7" t="s">
        <v>10</v>
      </c>
      <c r="C14" s="7"/>
      <c r="D14" s="7"/>
      <c r="E14" s="13" t="n">
        <f aca="false">COUNTIF(Invoices!$G$5:$G$200,"❓ Clarify")+COUNTIF(Invoices!$G$5:$G$200,"⚠ Partial/Check")</f>
        <v>0</v>
      </c>
      <c r="F14" s="13"/>
    </row>
    <row r="15" customFormat="false" ht="21.75" hidden="false" customHeight="true" outlineLevel="0" collapsed="false">
      <c r="B15" s="14" t="s">
        <v>11</v>
      </c>
      <c r="C15" s="15"/>
      <c r="D15" s="15"/>
      <c r="E15" s="16" t="n">
        <f aca="false">SUMPRODUCT(IF(Invoices!$G$5:$G$200&lt;&gt;"✅ Paid",IF(Invoices!$G$5:$G$200&lt;&gt;"",IF(ISNUMBER(Invoices!$F$5:$F$200),Invoices!$F$5:$F$200,0),0),0))</f>
        <v>367820.64</v>
      </c>
    </row>
    <row r="16" customFormat="false" ht="21.75" hidden="false" customHeight="true" outlineLevel="0" collapsed="false">
      <c r="B16" s="17"/>
      <c r="C16" s="17"/>
      <c r="D16" s="17"/>
      <c r="E16" s="17"/>
      <c r="F16" s="17"/>
    </row>
    <row r="17" customFormat="false" ht="24" hidden="false" customHeight="true" outlineLevel="0" collapsed="false">
      <c r="B17" s="4" t="s">
        <v>12</v>
      </c>
      <c r="C17" s="4"/>
      <c r="D17" s="4"/>
      <c r="E17" s="17"/>
      <c r="F17" s="17"/>
    </row>
    <row r="18" customFormat="false" ht="24" hidden="false" customHeight="true" outlineLevel="0" collapsed="false">
      <c r="B18" s="7" t="s">
        <v>13</v>
      </c>
      <c r="C18" s="7"/>
      <c r="D18" s="7"/>
      <c r="E18" s="11" t="n">
        <f aca="false">SUMIF(Transactions!$B$5:$B$300,"Deposit",Transactions!$H$5:$H$300)</f>
        <v>27843224.59</v>
      </c>
      <c r="F18" s="11"/>
    </row>
    <row r="19" customFormat="false" ht="24" hidden="false" customHeight="true" outlineLevel="0" collapsed="false">
      <c r="B19" s="7" t="s">
        <v>14</v>
      </c>
      <c r="C19" s="7"/>
      <c r="D19" s="7"/>
      <c r="E19" s="18" t="n">
        <f aca="false">SUMIF(Transactions!$B$5:$B$300,"Cash Out",Transactions!$H$5:$H$300)</f>
        <v>3590783.16</v>
      </c>
      <c r="F19" s="18"/>
    </row>
    <row r="20" customFormat="false" ht="24" hidden="false" customHeight="true" outlineLevel="0" collapsed="false">
      <c r="B20" s="7" t="s">
        <v>15</v>
      </c>
      <c r="C20" s="7"/>
      <c r="D20" s="7"/>
      <c r="E20" s="19" t="n">
        <f aca="false">SUMIF(Transactions!$B$5:$B$300,"Payment",Transactions!$H$5:$H$300)</f>
        <v>20043243.45</v>
      </c>
      <c r="F20" s="19"/>
    </row>
    <row r="21" customFormat="false" ht="15" hidden="false" customHeight="true" outlineLevel="0" collapsed="false">
      <c r="B21" s="7" t="s">
        <v>16</v>
      </c>
      <c r="C21" s="20"/>
      <c r="D21" s="20"/>
      <c r="E21" s="21" t="n">
        <f aca="false">SUMIF(Transactions!$B$5:$B$300,"❓ Unknown",Transactions!$H$5:$H$300)</f>
        <v>0</v>
      </c>
      <c r="F21" s="20"/>
    </row>
  </sheetData>
  <mergeCells count="29">
    <mergeCell ref="A1:F1"/>
    <mergeCell ref="A2:F2"/>
    <mergeCell ref="B4:F4"/>
    <mergeCell ref="B5:D5"/>
    <mergeCell ref="E5:F5"/>
    <mergeCell ref="B6:D6"/>
    <mergeCell ref="E6:F6"/>
    <mergeCell ref="B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6:F16"/>
    <mergeCell ref="B17:D17"/>
    <mergeCell ref="E17:F17"/>
    <mergeCell ref="B18:D18"/>
    <mergeCell ref="E18:F18"/>
    <mergeCell ref="B19:D19"/>
    <mergeCell ref="E19:F19"/>
    <mergeCell ref="B20:D20"/>
    <mergeCell ref="E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35" activePane="bottomLeft" state="frozen"/>
      <selection pane="topLeft" activeCell="A1" activeCellId="0" sqref="A1"/>
      <selection pane="bottomLeft" activeCell="L31" activeCellId="0" sqref="L3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42"/>
    <col collapsed="false" customWidth="true" hidden="false" outlineLevel="0" max="4" min="4" style="1" width="30"/>
    <col collapsed="false" customWidth="true" hidden="false" outlineLevel="0" max="5" min="5" style="1" width="8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9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40"/>
  </cols>
  <sheetData>
    <row r="1" customFormat="false" ht="30" hidden="false" customHeight="true" outlineLevel="0" collapsed="false">
      <c r="A1" s="2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25.5" hidden="false" customHeight="true" outlineLevel="0" collapsed="false">
      <c r="A4" s="22" t="s">
        <v>19</v>
      </c>
      <c r="B4" s="22" t="s">
        <v>20</v>
      </c>
      <c r="C4" s="22" t="s">
        <v>21</v>
      </c>
      <c r="D4" s="22" t="s">
        <v>22</v>
      </c>
      <c r="E4" s="22" t="s">
        <v>23</v>
      </c>
      <c r="F4" s="22" t="s">
        <v>24</v>
      </c>
      <c r="G4" s="23" t="s">
        <v>25</v>
      </c>
      <c r="H4" s="22" t="s">
        <v>26</v>
      </c>
      <c r="I4" s="22" t="s">
        <v>27</v>
      </c>
      <c r="J4" s="22" t="s">
        <v>28</v>
      </c>
      <c r="K4" s="22" t="s">
        <v>29</v>
      </c>
      <c r="L4" s="22" t="s">
        <v>30</v>
      </c>
    </row>
    <row r="5" customFormat="false" ht="27.75" hidden="false" customHeight="true" outlineLevel="0" collapsed="false">
      <c r="A5" s="24" t="s">
        <v>31</v>
      </c>
      <c r="B5" s="24" t="s">
        <v>32</v>
      </c>
      <c r="C5" s="24" t="s">
        <v>33</v>
      </c>
      <c r="D5" s="24" t="s">
        <v>34</v>
      </c>
      <c r="E5" s="25" t="s">
        <v>35</v>
      </c>
      <c r="F5" s="26" t="n">
        <v>50000000</v>
      </c>
      <c r="G5" s="27" t="n">
        <v>3.6725</v>
      </c>
      <c r="H5" s="28" t="n">
        <v>13614703.88</v>
      </c>
      <c r="I5" s="29" t="n">
        <v>0</v>
      </c>
      <c r="J5" s="28" t="n">
        <v>13614703.88</v>
      </c>
      <c r="K5" s="30" t="n">
        <v>13614703.88</v>
      </c>
      <c r="L5" s="31" t="s">
        <v>36</v>
      </c>
    </row>
    <row r="6" customFormat="false" ht="27.75" hidden="false" customHeight="true" outlineLevel="0" collapsed="false">
      <c r="A6" s="32" t="s">
        <v>37</v>
      </c>
      <c r="B6" s="32" t="s">
        <v>38</v>
      </c>
      <c r="C6" s="32" t="s">
        <v>39</v>
      </c>
      <c r="D6" s="32" t="s">
        <v>40</v>
      </c>
      <c r="E6" s="33" t="s">
        <v>41</v>
      </c>
      <c r="F6" s="34" t="n">
        <v>74520</v>
      </c>
      <c r="G6" s="27" t="n">
        <v>7.038</v>
      </c>
      <c r="H6" s="28" t="n">
        <v>10588.24</v>
      </c>
      <c r="I6" s="29" t="n">
        <v>0.005</v>
      </c>
      <c r="J6" s="28" t="n">
        <v>-10641.45</v>
      </c>
      <c r="K6" s="30" t="n">
        <v>13604062.43</v>
      </c>
      <c r="L6" s="31" t="s">
        <v>42</v>
      </c>
    </row>
    <row r="7" customFormat="false" ht="27.75" hidden="false" customHeight="true" outlineLevel="0" collapsed="false">
      <c r="A7" s="32" t="s">
        <v>43</v>
      </c>
      <c r="B7" s="32" t="s">
        <v>38</v>
      </c>
      <c r="C7" s="32" t="s">
        <v>44</v>
      </c>
      <c r="D7" s="32" t="s">
        <v>45</v>
      </c>
      <c r="E7" s="33" t="s">
        <v>46</v>
      </c>
      <c r="F7" s="34" t="n">
        <v>1062790869.53</v>
      </c>
      <c r="G7" s="27" t="n">
        <v>78.4368</v>
      </c>
      <c r="H7" s="28" t="n">
        <v>13549645.95</v>
      </c>
      <c r="I7" s="29" t="n">
        <v>0.004</v>
      </c>
      <c r="J7" s="28" t="n">
        <v>-13604062.2</v>
      </c>
      <c r="K7" s="30" t="n">
        <v>0.23</v>
      </c>
      <c r="L7" s="31" t="s">
        <v>47</v>
      </c>
    </row>
    <row r="8" customFormat="false" ht="27.75" hidden="false" customHeight="true" outlineLevel="0" collapsed="false">
      <c r="A8" s="24" t="s">
        <v>48</v>
      </c>
      <c r="B8" s="24" t="s">
        <v>32</v>
      </c>
      <c r="C8" s="24" t="s">
        <v>49</v>
      </c>
      <c r="D8" s="24" t="s">
        <v>34</v>
      </c>
      <c r="E8" s="25" t="s">
        <v>41</v>
      </c>
      <c r="F8" s="26" t="n">
        <v>79993251</v>
      </c>
      <c r="G8" s="27" t="n">
        <v>7.01251</v>
      </c>
      <c r="H8" s="28" t="n">
        <v>11407217.7</v>
      </c>
      <c r="I8" s="29" t="n">
        <v>0</v>
      </c>
      <c r="J8" s="28" t="n">
        <v>11407217.7</v>
      </c>
      <c r="K8" s="30" t="n">
        <v>11407217.93</v>
      </c>
      <c r="L8" s="31" t="s">
        <v>50</v>
      </c>
    </row>
    <row r="9" customFormat="false" ht="27.75" hidden="false" customHeight="true" outlineLevel="0" collapsed="false">
      <c r="A9" s="32" t="s">
        <v>51</v>
      </c>
      <c r="B9" s="32" t="s">
        <v>38</v>
      </c>
      <c r="C9" s="32" t="s">
        <v>52</v>
      </c>
      <c r="D9" s="32" t="s">
        <v>53</v>
      </c>
      <c r="E9" s="33" t="s">
        <v>41</v>
      </c>
      <c r="F9" s="34" t="n">
        <v>381089</v>
      </c>
      <c r="G9" s="27" t="n">
        <v>7.01251</v>
      </c>
      <c r="H9" s="28" t="n">
        <v>54344.15</v>
      </c>
      <c r="I9" s="29" t="n">
        <v>0.005</v>
      </c>
      <c r="J9" s="28" t="n">
        <v>-54617.24</v>
      </c>
      <c r="K9" s="30" t="n">
        <v>11352600.69</v>
      </c>
      <c r="L9" s="31" t="s">
        <v>54</v>
      </c>
    </row>
    <row r="10" customFormat="false" ht="27.75" hidden="false" customHeight="true" outlineLevel="0" collapsed="false">
      <c r="A10" s="32" t="s">
        <v>55</v>
      </c>
      <c r="B10" s="32" t="s">
        <v>38</v>
      </c>
      <c r="C10" s="32" t="s">
        <v>56</v>
      </c>
      <c r="D10" s="32" t="s">
        <v>40</v>
      </c>
      <c r="E10" s="33" t="s">
        <v>41</v>
      </c>
      <c r="F10" s="34" t="n">
        <v>4356737.02</v>
      </c>
      <c r="G10" s="27" t="n">
        <v>7.01251</v>
      </c>
      <c r="H10" s="28" t="n">
        <v>621280.51</v>
      </c>
      <c r="I10" s="29" t="n">
        <v>0.005</v>
      </c>
      <c r="J10" s="28" t="n">
        <v>-624402.52</v>
      </c>
      <c r="K10" s="30" t="n">
        <v>10728198.17</v>
      </c>
      <c r="L10" s="31" t="s">
        <v>57</v>
      </c>
    </row>
    <row r="11" customFormat="false" ht="27.75" hidden="false" customHeight="true" outlineLevel="0" collapsed="false">
      <c r="A11" s="35" t="s">
        <v>58</v>
      </c>
      <c r="B11" s="35" t="s">
        <v>59</v>
      </c>
      <c r="C11" s="35" t="s">
        <v>60</v>
      </c>
      <c r="D11" s="35" t="s">
        <v>34</v>
      </c>
      <c r="E11" s="36" t="s">
        <v>35</v>
      </c>
      <c r="F11" s="37" t="n">
        <v>2000000</v>
      </c>
      <c r="G11" s="27" t="n">
        <v>3.6725</v>
      </c>
      <c r="H11" s="28" t="n">
        <v>544588.16</v>
      </c>
      <c r="I11" s="29" t="n">
        <v>0.005</v>
      </c>
      <c r="J11" s="28" t="n">
        <v>-547324.78</v>
      </c>
      <c r="K11" s="30" t="n">
        <v>10180873.39</v>
      </c>
      <c r="L11" s="31" t="s">
        <v>61</v>
      </c>
    </row>
    <row r="12" customFormat="false" ht="27.75" hidden="false" customHeight="true" outlineLevel="0" collapsed="false">
      <c r="A12" s="35" t="s">
        <v>62</v>
      </c>
      <c r="B12" s="35" t="s">
        <v>59</v>
      </c>
      <c r="C12" s="35" t="s">
        <v>63</v>
      </c>
      <c r="D12" s="35" t="s">
        <v>34</v>
      </c>
      <c r="E12" s="36" t="s">
        <v>35</v>
      </c>
      <c r="F12" s="37" t="n">
        <v>1650000</v>
      </c>
      <c r="G12" s="27" t="n">
        <v>3.6725</v>
      </c>
      <c r="H12" s="28" t="n">
        <v>449285.23</v>
      </c>
      <c r="I12" s="29" t="n">
        <v>0.005</v>
      </c>
      <c r="J12" s="28" t="n">
        <v>-451542.94</v>
      </c>
      <c r="K12" s="30" t="n">
        <v>9729330.45</v>
      </c>
      <c r="L12" s="31" t="s">
        <v>64</v>
      </c>
    </row>
    <row r="13" customFormat="false" ht="27.75" hidden="false" customHeight="true" outlineLevel="0" collapsed="false">
      <c r="A13" s="32" t="s">
        <v>65</v>
      </c>
      <c r="B13" s="32" t="s">
        <v>38</v>
      </c>
      <c r="C13" s="32" t="s">
        <v>66</v>
      </c>
      <c r="D13" s="32" t="s">
        <v>45</v>
      </c>
      <c r="E13" s="33" t="s">
        <v>46</v>
      </c>
      <c r="F13" s="34" t="n">
        <v>392686446</v>
      </c>
      <c r="G13" s="27" t="n">
        <v>78.8527</v>
      </c>
      <c r="H13" s="28" t="n">
        <v>4980000</v>
      </c>
      <c r="I13" s="29" t="n">
        <v>0.004</v>
      </c>
      <c r="J13" s="28" t="n">
        <v>-5000000</v>
      </c>
      <c r="K13" s="30" t="n">
        <v>4729330.45</v>
      </c>
      <c r="L13" s="31" t="s">
        <v>67</v>
      </c>
    </row>
    <row r="14" customFormat="false" ht="27.75" hidden="false" customHeight="true" outlineLevel="0" collapsed="false">
      <c r="A14" s="35" t="s">
        <v>65</v>
      </c>
      <c r="B14" s="35" t="s">
        <v>59</v>
      </c>
      <c r="C14" s="35" t="s">
        <v>68</v>
      </c>
      <c r="D14" s="35" t="s">
        <v>34</v>
      </c>
      <c r="E14" s="36" t="s">
        <v>35</v>
      </c>
      <c r="F14" s="37" t="n">
        <v>3000000</v>
      </c>
      <c r="G14" s="27" t="n">
        <v>3.6725</v>
      </c>
      <c r="H14" s="28" t="n">
        <v>816882.23</v>
      </c>
      <c r="I14" s="29" t="n">
        <v>0.005</v>
      </c>
      <c r="J14" s="28" t="n">
        <v>-820987.17</v>
      </c>
      <c r="K14" s="30" t="n">
        <v>3908343.28</v>
      </c>
      <c r="L14" s="31" t="s">
        <v>69</v>
      </c>
    </row>
    <row r="15" customFormat="false" ht="27.75" hidden="false" customHeight="true" outlineLevel="0" collapsed="false">
      <c r="A15" s="32" t="s">
        <v>65</v>
      </c>
      <c r="B15" s="32" t="s">
        <v>38</v>
      </c>
      <c r="C15" s="32" t="s">
        <v>70</v>
      </c>
      <c r="D15" s="32" t="s">
        <v>71</v>
      </c>
      <c r="E15" s="33" t="s">
        <v>35</v>
      </c>
      <c r="F15" s="34" t="n">
        <v>30240</v>
      </c>
      <c r="G15" s="27" t="n">
        <v>3.6725</v>
      </c>
      <c r="H15" s="28" t="n">
        <v>8234.17</v>
      </c>
      <c r="I15" s="29" t="n">
        <v>0.005</v>
      </c>
      <c r="J15" s="28" t="n">
        <v>-8275.55</v>
      </c>
      <c r="K15" s="30" t="n">
        <v>3900067.73</v>
      </c>
      <c r="L15" s="31" t="s">
        <v>72</v>
      </c>
    </row>
    <row r="16" customFormat="false" ht="27.75" hidden="false" customHeight="true" outlineLevel="0" collapsed="false">
      <c r="A16" s="32" t="s">
        <v>65</v>
      </c>
      <c r="B16" s="32" t="s">
        <v>38</v>
      </c>
      <c r="C16" s="32" t="s">
        <v>73</v>
      </c>
      <c r="D16" s="32" t="s">
        <v>74</v>
      </c>
      <c r="E16" s="33" t="s">
        <v>35</v>
      </c>
      <c r="F16" s="34" t="n">
        <v>1890</v>
      </c>
      <c r="G16" s="27" t="n">
        <v>3.6725</v>
      </c>
      <c r="H16" s="28" t="n">
        <v>514.64</v>
      </c>
      <c r="I16" s="29" t="n">
        <v>0.005</v>
      </c>
      <c r="J16" s="28" t="n">
        <v>-517.23</v>
      </c>
      <c r="K16" s="30" t="n">
        <v>3899550.5</v>
      </c>
      <c r="L16" s="31" t="s">
        <v>75</v>
      </c>
    </row>
    <row r="17" customFormat="false" ht="27.75" hidden="false" customHeight="true" outlineLevel="0" collapsed="false">
      <c r="A17" s="32" t="s">
        <v>65</v>
      </c>
      <c r="B17" s="32" t="s">
        <v>38</v>
      </c>
      <c r="C17" s="32" t="s">
        <v>76</v>
      </c>
      <c r="D17" s="32" t="s">
        <v>74</v>
      </c>
      <c r="E17" s="33" t="s">
        <v>35</v>
      </c>
      <c r="F17" s="34" t="n">
        <v>27858.6</v>
      </c>
      <c r="G17" s="27" t="n">
        <v>3.6725</v>
      </c>
      <c r="H17" s="28" t="n">
        <v>7585.73</v>
      </c>
      <c r="I17" s="29" t="n">
        <v>0.005</v>
      </c>
      <c r="J17" s="28" t="n">
        <v>-7623.85</v>
      </c>
      <c r="K17" s="30" t="n">
        <v>3891926.65</v>
      </c>
      <c r="L17" s="31" t="s">
        <v>77</v>
      </c>
    </row>
    <row r="18" customFormat="false" ht="27.75" hidden="false" customHeight="true" outlineLevel="0" collapsed="false">
      <c r="A18" s="32" t="s">
        <v>78</v>
      </c>
      <c r="B18" s="32" t="s">
        <v>38</v>
      </c>
      <c r="C18" s="32" t="s">
        <v>79</v>
      </c>
      <c r="D18" s="32" t="s">
        <v>80</v>
      </c>
      <c r="E18" s="33" t="s">
        <v>35</v>
      </c>
      <c r="F18" s="34" t="n">
        <v>283413.37</v>
      </c>
      <c r="G18" s="27" t="n">
        <v>3.6725</v>
      </c>
      <c r="H18" s="28" t="n">
        <v>77171.78</v>
      </c>
      <c r="I18" s="29" t="n">
        <v>0.005</v>
      </c>
      <c r="J18" s="28" t="n">
        <v>-77559.58</v>
      </c>
      <c r="K18" s="30" t="n">
        <v>3814367.07</v>
      </c>
      <c r="L18" s="31" t="s">
        <v>81</v>
      </c>
    </row>
    <row r="19" customFormat="false" ht="27.75" hidden="false" customHeight="true" outlineLevel="0" collapsed="false">
      <c r="A19" s="32" t="s">
        <v>78</v>
      </c>
      <c r="B19" s="32" t="s">
        <v>38</v>
      </c>
      <c r="C19" s="32" t="s">
        <v>82</v>
      </c>
      <c r="D19" s="32" t="s">
        <v>83</v>
      </c>
      <c r="E19" s="33" t="s">
        <v>35</v>
      </c>
      <c r="F19" s="34" t="n">
        <v>9082.5</v>
      </c>
      <c r="G19" s="27" t="n">
        <v>3.6725</v>
      </c>
      <c r="H19" s="28" t="n">
        <v>2473.11</v>
      </c>
      <c r="I19" s="29" t="n">
        <v>0.005</v>
      </c>
      <c r="J19" s="28" t="n">
        <v>-2485.54</v>
      </c>
      <c r="K19" s="30" t="n">
        <v>3811881.53</v>
      </c>
      <c r="L19" s="31" t="s">
        <v>84</v>
      </c>
    </row>
    <row r="20" customFormat="false" ht="27.75" hidden="false" customHeight="true" outlineLevel="0" collapsed="false">
      <c r="A20" s="32" t="s">
        <v>78</v>
      </c>
      <c r="B20" s="32" t="s">
        <v>38</v>
      </c>
      <c r="C20" s="32" t="s">
        <v>85</v>
      </c>
      <c r="D20" s="32" t="s">
        <v>83</v>
      </c>
      <c r="E20" s="33" t="s">
        <v>35</v>
      </c>
      <c r="F20" s="34" t="n">
        <v>4160</v>
      </c>
      <c r="G20" s="27" t="n">
        <v>3.6725</v>
      </c>
      <c r="H20" s="28" t="n">
        <v>1132.74</v>
      </c>
      <c r="I20" s="29" t="n">
        <v>0.005</v>
      </c>
      <c r="J20" s="28" t="n">
        <v>-1138.43</v>
      </c>
      <c r="K20" s="30" t="n">
        <v>3810743.1</v>
      </c>
      <c r="L20" s="31" t="s">
        <v>86</v>
      </c>
    </row>
    <row r="21" customFormat="false" ht="27.75" hidden="false" customHeight="true" outlineLevel="0" collapsed="false">
      <c r="A21" s="32" t="s">
        <v>87</v>
      </c>
      <c r="B21" s="32" t="s">
        <v>38</v>
      </c>
      <c r="C21" s="32" t="s">
        <v>88</v>
      </c>
      <c r="D21" s="32" t="s">
        <v>89</v>
      </c>
      <c r="E21" s="33" t="s">
        <v>35</v>
      </c>
      <c r="F21" s="34" t="n">
        <v>5000</v>
      </c>
      <c r="G21" s="27" t="n">
        <v>3.6725</v>
      </c>
      <c r="H21" s="28" t="n">
        <v>1361.47</v>
      </c>
      <c r="I21" s="29" t="n">
        <v>0.005</v>
      </c>
      <c r="J21" s="28" t="n">
        <v>-1368.31</v>
      </c>
      <c r="K21" s="30" t="n">
        <v>3809374.79</v>
      </c>
      <c r="L21" s="31" t="s">
        <v>90</v>
      </c>
    </row>
    <row r="22" customFormat="false" ht="27.75" hidden="false" customHeight="true" outlineLevel="0" collapsed="false">
      <c r="A22" s="32" t="s">
        <v>87</v>
      </c>
      <c r="B22" s="32" t="s">
        <v>38</v>
      </c>
      <c r="C22" s="32" t="s">
        <v>91</v>
      </c>
      <c r="D22" s="32" t="s">
        <v>92</v>
      </c>
      <c r="E22" s="33" t="s">
        <v>35</v>
      </c>
      <c r="F22" s="34" t="n">
        <v>2350</v>
      </c>
      <c r="G22" s="27" t="n">
        <v>3.6725</v>
      </c>
      <c r="H22" s="28" t="n">
        <v>639.89</v>
      </c>
      <c r="I22" s="29" t="n">
        <v>0.005</v>
      </c>
      <c r="J22" s="28" t="n">
        <v>-643.11</v>
      </c>
      <c r="K22" s="30" t="n">
        <v>3808731.68</v>
      </c>
      <c r="L22" s="31" t="s">
        <v>93</v>
      </c>
    </row>
    <row r="23" customFormat="false" ht="27.75" hidden="false" customHeight="true" outlineLevel="0" collapsed="false">
      <c r="A23" s="32" t="s">
        <v>87</v>
      </c>
      <c r="B23" s="32" t="s">
        <v>38</v>
      </c>
      <c r="C23" s="32" t="s">
        <v>94</v>
      </c>
      <c r="D23" s="32" t="s">
        <v>95</v>
      </c>
      <c r="E23" s="33" t="s">
        <v>96</v>
      </c>
      <c r="F23" s="34" t="n">
        <v>932.7</v>
      </c>
      <c r="G23" s="27" t="n">
        <v>1.2535</v>
      </c>
      <c r="H23" s="28" t="n">
        <v>744.08</v>
      </c>
      <c r="I23" s="29" t="n">
        <v>0.005</v>
      </c>
      <c r="J23" s="28" t="n">
        <v>-747.82</v>
      </c>
      <c r="K23" s="30" t="n">
        <v>3807983.86</v>
      </c>
      <c r="L23" s="31" t="s">
        <v>97</v>
      </c>
    </row>
    <row r="24" customFormat="false" ht="27.75" hidden="false" customHeight="true" outlineLevel="0" collapsed="false">
      <c r="A24" s="35" t="s">
        <v>87</v>
      </c>
      <c r="B24" s="35" t="s">
        <v>59</v>
      </c>
      <c r="C24" s="35" t="s">
        <v>98</v>
      </c>
      <c r="D24" s="35" t="s">
        <v>34</v>
      </c>
      <c r="E24" s="36" t="s">
        <v>96</v>
      </c>
      <c r="F24" s="37" t="n">
        <v>17000</v>
      </c>
      <c r="G24" s="27" t="n">
        <v>1.2535</v>
      </c>
      <c r="H24" s="28" t="n">
        <v>13562.03</v>
      </c>
      <c r="I24" s="29" t="n">
        <v>0.005</v>
      </c>
      <c r="J24" s="28" t="n">
        <v>-13630.18</v>
      </c>
      <c r="K24" s="30" t="n">
        <v>3794353.68</v>
      </c>
      <c r="L24" s="31" t="s">
        <v>99</v>
      </c>
    </row>
    <row r="25" customFormat="false" ht="27.75" hidden="false" customHeight="true" outlineLevel="0" collapsed="false">
      <c r="A25" s="32" t="s">
        <v>100</v>
      </c>
      <c r="B25" s="32" t="s">
        <v>38</v>
      </c>
      <c r="C25" s="32" t="s">
        <v>101</v>
      </c>
      <c r="D25" s="32" t="s">
        <v>102</v>
      </c>
      <c r="E25" s="33" t="s">
        <v>35</v>
      </c>
      <c r="F25" s="34" t="n">
        <v>2121212.17</v>
      </c>
      <c r="G25" s="27" t="n">
        <v>3.6725</v>
      </c>
      <c r="H25" s="28" t="n">
        <v>577593.51</v>
      </c>
      <c r="I25" s="29" t="n">
        <v>0.005</v>
      </c>
      <c r="J25" s="28" t="n">
        <v>-580495.99</v>
      </c>
      <c r="K25" s="30" t="n">
        <v>3213857.69</v>
      </c>
      <c r="L25" s="31" t="s">
        <v>103</v>
      </c>
    </row>
    <row r="26" customFormat="false" ht="27.75" hidden="false" customHeight="true" outlineLevel="0" collapsed="false">
      <c r="A26" s="38" t="s">
        <v>104</v>
      </c>
      <c r="B26" s="38" t="s">
        <v>105</v>
      </c>
      <c r="C26" s="38" t="s">
        <v>106</v>
      </c>
      <c r="D26" s="38" t="s">
        <v>34</v>
      </c>
      <c r="E26" s="39" t="s">
        <v>35</v>
      </c>
      <c r="F26" s="40" t="n">
        <v>90500</v>
      </c>
      <c r="G26" s="27" t="n">
        <v>3.6725</v>
      </c>
      <c r="H26" s="28" t="n">
        <v>24642.61</v>
      </c>
      <c r="I26" s="29" t="n">
        <v>0</v>
      </c>
      <c r="J26" s="28" t="n">
        <v>24642.61</v>
      </c>
      <c r="K26" s="30" t="n">
        <v>3238500.3</v>
      </c>
      <c r="L26" s="31" t="s">
        <v>107</v>
      </c>
    </row>
    <row r="27" customFormat="false" ht="27.75" hidden="false" customHeight="true" outlineLevel="0" collapsed="false">
      <c r="A27" s="35" t="s">
        <v>108</v>
      </c>
      <c r="B27" s="35" t="s">
        <v>59</v>
      </c>
      <c r="C27" s="35" t="s">
        <v>109</v>
      </c>
      <c r="D27" s="35" t="s">
        <v>34</v>
      </c>
      <c r="E27" s="36" t="s">
        <v>35</v>
      </c>
      <c r="F27" s="37" t="n">
        <v>2000000</v>
      </c>
      <c r="G27" s="27" t="n">
        <v>3.6725</v>
      </c>
      <c r="H27" s="28" t="n">
        <v>544588.16</v>
      </c>
      <c r="I27" s="29" t="n">
        <v>0.005</v>
      </c>
      <c r="J27" s="28" t="n">
        <v>-547324.78</v>
      </c>
      <c r="K27" s="30" t="n">
        <v>2691175.52</v>
      </c>
      <c r="L27" s="31" t="s">
        <v>110</v>
      </c>
    </row>
    <row r="28" customFormat="false" ht="27.75" hidden="false" customHeight="true" outlineLevel="0" collapsed="false">
      <c r="A28" s="32" t="s">
        <v>111</v>
      </c>
      <c r="B28" s="32" t="s">
        <v>38</v>
      </c>
      <c r="C28" s="32" t="s">
        <v>112</v>
      </c>
      <c r="D28" s="32" t="s">
        <v>83</v>
      </c>
      <c r="E28" s="33" t="s">
        <v>35</v>
      </c>
      <c r="F28" s="34" t="n">
        <v>55453.14</v>
      </c>
      <c r="G28" s="27" t="n">
        <v>3.6725</v>
      </c>
      <c r="H28" s="28" t="n">
        <v>15099.56</v>
      </c>
      <c r="I28" s="29" t="n">
        <v>0.005</v>
      </c>
      <c r="J28" s="28" t="n">
        <v>-15175.44</v>
      </c>
      <c r="K28" s="30" t="n">
        <v>2676000.08</v>
      </c>
      <c r="L28" s="31" t="s">
        <v>113</v>
      </c>
    </row>
    <row r="29" customFormat="false" ht="27.75" hidden="false" customHeight="true" outlineLevel="0" collapsed="false">
      <c r="A29" s="32" t="s">
        <v>114</v>
      </c>
      <c r="B29" s="32" t="s">
        <v>38</v>
      </c>
      <c r="C29" s="32" t="s">
        <v>115</v>
      </c>
      <c r="D29" s="32" t="s">
        <v>116</v>
      </c>
      <c r="E29" s="33" t="s">
        <v>41</v>
      </c>
      <c r="F29" s="34" t="n">
        <v>496460.13</v>
      </c>
      <c r="G29" s="27" t="n">
        <v>6.939</v>
      </c>
      <c r="H29" s="28" t="n">
        <v>71546.35</v>
      </c>
      <c r="I29" s="29" t="n">
        <v>0.005</v>
      </c>
      <c r="J29" s="28" t="n">
        <v>-71905.88</v>
      </c>
      <c r="K29" s="30" t="n">
        <v>2604094.2</v>
      </c>
      <c r="L29" s="31" t="s">
        <v>117</v>
      </c>
    </row>
    <row r="30" customFormat="false" ht="27.75" hidden="false" customHeight="true" outlineLevel="0" collapsed="false">
      <c r="A30" s="32" t="s">
        <v>114</v>
      </c>
      <c r="B30" s="32" t="s">
        <v>38</v>
      </c>
      <c r="C30" s="32" t="s">
        <v>118</v>
      </c>
      <c r="D30" s="32" t="s">
        <v>119</v>
      </c>
      <c r="E30" s="33" t="s">
        <v>120</v>
      </c>
      <c r="F30" s="34" t="n">
        <v>2330</v>
      </c>
      <c r="G30" s="27" t="n">
        <v>1</v>
      </c>
      <c r="H30" s="28" t="n">
        <v>2330</v>
      </c>
      <c r="I30" s="29" t="n">
        <v>0.005</v>
      </c>
      <c r="J30" s="28" t="n">
        <v>-2341.71</v>
      </c>
      <c r="K30" s="30" t="n">
        <v>2601752.49</v>
      </c>
      <c r="L30" s="31" t="s">
        <v>121</v>
      </c>
    </row>
    <row r="31" customFormat="false" ht="27.75" hidden="false" customHeight="true" outlineLevel="0" collapsed="false">
      <c r="A31" s="24" t="s">
        <v>122</v>
      </c>
      <c r="B31" s="24" t="s">
        <v>32</v>
      </c>
      <c r="C31" s="24" t="s">
        <v>123</v>
      </c>
      <c r="D31" s="24" t="s">
        <v>34</v>
      </c>
      <c r="E31" s="25" t="s">
        <v>41</v>
      </c>
      <c r="F31" s="26" t="n">
        <v>19500000</v>
      </c>
      <c r="G31" s="27" t="n">
        <v>6.9117</v>
      </c>
      <c r="H31" s="28" t="n">
        <v>2821303.01</v>
      </c>
      <c r="I31" s="29" t="n">
        <v>0</v>
      </c>
      <c r="J31" s="28" t="n">
        <v>2821303.01</v>
      </c>
      <c r="K31" s="30" t="n">
        <v>5423055.5</v>
      </c>
      <c r="L31" s="31" t="s">
        <v>124</v>
      </c>
    </row>
    <row r="32" customFormat="false" ht="27.75" hidden="false" customHeight="true" outlineLevel="0" collapsed="false">
      <c r="A32" s="35" t="s">
        <v>125</v>
      </c>
      <c r="B32" s="35" t="s">
        <v>59</v>
      </c>
      <c r="C32" s="35" t="s">
        <v>126</v>
      </c>
      <c r="D32" s="35" t="s">
        <v>34</v>
      </c>
      <c r="E32" s="36" t="s">
        <v>35</v>
      </c>
      <c r="F32" s="37" t="n">
        <v>4000000</v>
      </c>
      <c r="G32" s="27" t="n">
        <v>3.6725</v>
      </c>
      <c r="H32" s="28" t="n">
        <v>1089176.31</v>
      </c>
      <c r="I32" s="29" t="n">
        <v>0.005</v>
      </c>
      <c r="J32" s="28" t="n">
        <v>-1094649.56</v>
      </c>
      <c r="K32" s="30" t="n">
        <v>4328405.94</v>
      </c>
      <c r="L32" s="31" t="s">
        <v>127</v>
      </c>
    </row>
    <row r="33" customFormat="false" ht="27.75" hidden="false" customHeight="true" outlineLevel="0" collapsed="false">
      <c r="A33" s="32" t="s">
        <v>128</v>
      </c>
      <c r="B33" s="32" t="s">
        <v>38</v>
      </c>
      <c r="C33" s="32" t="s">
        <v>129</v>
      </c>
      <c r="D33" s="32" t="s">
        <v>95</v>
      </c>
      <c r="E33" s="33" t="s">
        <v>96</v>
      </c>
      <c r="F33" s="34" t="n">
        <v>8596.35</v>
      </c>
      <c r="G33" s="27" t="n">
        <v>1.2337</v>
      </c>
      <c r="H33" s="28" t="n">
        <v>6967.94</v>
      </c>
      <c r="I33" s="29" t="n">
        <v>0.005</v>
      </c>
      <c r="J33" s="28" t="n">
        <v>-7002.95</v>
      </c>
      <c r="K33" s="30" t="n">
        <v>4321402.99</v>
      </c>
      <c r="L33" s="31" t="s">
        <v>130</v>
      </c>
    </row>
    <row r="34" customFormat="false" ht="27.75" hidden="false" customHeight="true" outlineLevel="0" collapsed="false">
      <c r="A34" s="32" t="s">
        <v>128</v>
      </c>
      <c r="B34" s="32" t="s">
        <v>38</v>
      </c>
      <c r="C34" s="32" t="s">
        <v>131</v>
      </c>
      <c r="D34" s="32" t="s">
        <v>132</v>
      </c>
      <c r="E34" s="33" t="s">
        <v>133</v>
      </c>
      <c r="F34" s="34" t="n">
        <v>2800</v>
      </c>
      <c r="G34" s="27" t="n">
        <v>0.8434</v>
      </c>
      <c r="H34" s="28" t="n">
        <v>3319.9</v>
      </c>
      <c r="I34" s="29" t="n">
        <v>0.005</v>
      </c>
      <c r="J34" s="28" t="n">
        <v>-3336.58</v>
      </c>
      <c r="K34" s="30" t="n">
        <v>4318066.41</v>
      </c>
      <c r="L34" s="31" t="s">
        <v>134</v>
      </c>
    </row>
    <row r="35" customFormat="false" ht="27.75" hidden="false" customHeight="true" outlineLevel="0" collapsed="false">
      <c r="A35" s="35" t="s">
        <v>128</v>
      </c>
      <c r="B35" s="35" t="s">
        <v>59</v>
      </c>
      <c r="C35" s="35" t="s">
        <v>135</v>
      </c>
      <c r="D35" s="35" t="s">
        <v>136</v>
      </c>
      <c r="E35" s="36" t="s">
        <v>137</v>
      </c>
      <c r="F35" s="37" t="n">
        <v>1178000</v>
      </c>
      <c r="G35" s="27" t="n">
        <v>90.63</v>
      </c>
      <c r="H35" s="28" t="n">
        <v>12997.9</v>
      </c>
      <c r="I35" s="29" t="n">
        <v>0.005</v>
      </c>
      <c r="J35" s="28" t="n">
        <v>-13063.22</v>
      </c>
      <c r="K35" s="30" t="n">
        <v>4305003.19</v>
      </c>
      <c r="L35" s="31" t="s">
        <v>138</v>
      </c>
    </row>
    <row r="36" customFormat="false" ht="27.75" hidden="false" customHeight="true" outlineLevel="0" collapsed="false">
      <c r="A36" s="35" t="s">
        <v>128</v>
      </c>
      <c r="B36" s="35" t="s">
        <v>59</v>
      </c>
      <c r="C36" s="35" t="s">
        <v>139</v>
      </c>
      <c r="D36" s="35" t="s">
        <v>140</v>
      </c>
      <c r="E36" s="36" t="s">
        <v>133</v>
      </c>
      <c r="F36" s="37" t="n">
        <v>100000</v>
      </c>
      <c r="G36" s="27" t="n">
        <v>0.8354</v>
      </c>
      <c r="H36" s="28" t="n">
        <v>119703.14</v>
      </c>
      <c r="I36" s="29" t="n">
        <v>0.005</v>
      </c>
      <c r="J36" s="28" t="n">
        <v>-120304.66</v>
      </c>
      <c r="K36" s="30" t="n">
        <v>4184698.53</v>
      </c>
      <c r="L36" s="31" t="s">
        <v>138</v>
      </c>
    </row>
    <row r="37" customFormat="false" ht="27.75" hidden="false" customHeight="true" outlineLevel="0" collapsed="false">
      <c r="A37" s="38" t="s">
        <v>141</v>
      </c>
      <c r="B37" s="38" t="s">
        <v>105</v>
      </c>
      <c r="C37" s="38" t="s">
        <v>142</v>
      </c>
      <c r="D37" s="38" t="s">
        <v>34</v>
      </c>
      <c r="E37" s="39" t="s">
        <v>120</v>
      </c>
      <c r="F37" s="40" t="n">
        <v>50000</v>
      </c>
      <c r="G37" s="27" t="n">
        <v>1</v>
      </c>
      <c r="H37" s="28" t="n">
        <v>50000</v>
      </c>
      <c r="I37" s="29" t="n">
        <v>0</v>
      </c>
      <c r="J37" s="28" t="n">
        <v>50000</v>
      </c>
      <c r="K37" s="30" t="n">
        <v>4234698.53</v>
      </c>
      <c r="L37" s="31" t="s">
        <v>143</v>
      </c>
    </row>
    <row r="38" customFormat="false" ht="27.75" hidden="false" customHeight="true" outlineLevel="0" collapsed="false">
      <c r="A38" s="32" t="s">
        <v>144</v>
      </c>
      <c r="B38" s="32" t="s">
        <v>38</v>
      </c>
      <c r="C38" s="32" t="s">
        <v>145</v>
      </c>
      <c r="D38" s="32" t="s">
        <v>146</v>
      </c>
      <c r="E38" s="33" t="s">
        <v>35</v>
      </c>
      <c r="F38" s="34" t="n">
        <v>86520</v>
      </c>
      <c r="G38" s="27" t="n">
        <v>3.6725</v>
      </c>
      <c r="H38" s="28" t="n">
        <v>23558.88</v>
      </c>
      <c r="I38" s="29" t="n">
        <v>0.005</v>
      </c>
      <c r="J38" s="28" t="n">
        <v>-23677.27</v>
      </c>
      <c r="K38" s="30" t="n">
        <v>4211021.26</v>
      </c>
      <c r="L38" s="31" t="s">
        <v>147</v>
      </c>
    </row>
    <row r="39" customFormat="false" ht="27.75" hidden="false" customHeight="true" outlineLevel="0" collapsed="false">
      <c r="A39" s="32" t="s">
        <v>144</v>
      </c>
      <c r="B39" s="32" t="s">
        <v>38</v>
      </c>
      <c r="C39" s="32" t="s">
        <v>148</v>
      </c>
      <c r="D39" s="32" t="s">
        <v>146</v>
      </c>
      <c r="E39" s="33" t="s">
        <v>35</v>
      </c>
      <c r="F39" s="34" t="n">
        <v>66412.5</v>
      </c>
      <c r="G39" s="27" t="n">
        <v>3.6725</v>
      </c>
      <c r="H39" s="28" t="n">
        <v>18083.73</v>
      </c>
      <c r="I39" s="29" t="n">
        <v>0.005</v>
      </c>
      <c r="J39" s="28" t="n">
        <v>-18174.6</v>
      </c>
      <c r="K39" s="30" t="n">
        <v>4192846.66</v>
      </c>
      <c r="L39" s="31" t="s">
        <v>149</v>
      </c>
    </row>
    <row r="40" customFormat="false" ht="27.75" hidden="false" customHeight="true" outlineLevel="0" collapsed="false">
      <c r="A40" s="32" t="s">
        <v>144</v>
      </c>
      <c r="B40" s="32" t="s">
        <v>38</v>
      </c>
      <c r="C40" s="32" t="s">
        <v>150</v>
      </c>
      <c r="D40" s="32" t="s">
        <v>146</v>
      </c>
      <c r="E40" s="33" t="s">
        <v>35</v>
      </c>
      <c r="F40" s="34" t="n">
        <v>13650</v>
      </c>
      <c r="G40" s="27" t="n">
        <v>3.6725</v>
      </c>
      <c r="H40" s="28" t="n">
        <v>3716.81</v>
      </c>
      <c r="I40" s="29" t="n">
        <v>0.005</v>
      </c>
      <c r="J40" s="28" t="n">
        <v>-3735.49</v>
      </c>
      <c r="K40" s="30" t="n">
        <v>4189111.17</v>
      </c>
      <c r="L40" s="31" t="s">
        <v>151</v>
      </c>
    </row>
    <row r="41" customFormat="false" ht="27.75" hidden="false" customHeight="true" outlineLevel="0" collapsed="false">
      <c r="A41" s="38" t="s">
        <v>144</v>
      </c>
      <c r="B41" s="38" t="s">
        <v>105</v>
      </c>
      <c r="C41" s="38" t="s">
        <v>152</v>
      </c>
      <c r="D41" s="38" t="s">
        <v>153</v>
      </c>
      <c r="E41" s="39" t="s">
        <v>120</v>
      </c>
      <c r="F41" s="40" t="n">
        <v>150000</v>
      </c>
      <c r="G41" s="27" t="n">
        <v>1</v>
      </c>
      <c r="H41" s="28" t="n">
        <v>150000</v>
      </c>
      <c r="I41" s="29" t="n">
        <v>0</v>
      </c>
      <c r="J41" s="28" t="n">
        <v>150000</v>
      </c>
      <c r="K41" s="30" t="n">
        <v>4339111.17</v>
      </c>
      <c r="L41" s="31" t="s">
        <v>154</v>
      </c>
    </row>
    <row r="42" customFormat="false" ht="27.75" hidden="false" customHeight="true" outlineLevel="0" collapsed="false">
      <c r="A42" s="32" t="s">
        <v>155</v>
      </c>
      <c r="B42" s="32" t="s">
        <v>38</v>
      </c>
      <c r="C42" s="32" t="s">
        <v>156</v>
      </c>
      <c r="D42" s="32" t="s">
        <v>157</v>
      </c>
      <c r="E42" s="33" t="s">
        <v>35</v>
      </c>
      <c r="F42" s="34" t="n">
        <v>19502.1</v>
      </c>
      <c r="G42" s="27" t="n">
        <v>3.6725</v>
      </c>
      <c r="H42" s="28" t="n">
        <v>5310.31</v>
      </c>
      <c r="I42" s="29" t="n">
        <v>0.005</v>
      </c>
      <c r="J42" s="28" t="n">
        <v>-5336.99</v>
      </c>
      <c r="K42" s="30" t="n">
        <v>4333774.18</v>
      </c>
      <c r="L42" s="31" t="s">
        <v>158</v>
      </c>
    </row>
    <row r="43" customFormat="false" ht="27.75" hidden="false" customHeight="true" outlineLevel="0" collapsed="false">
      <c r="A43" s="41" t="s">
        <v>155</v>
      </c>
      <c r="B43" s="41" t="s">
        <v>105</v>
      </c>
      <c r="C43" s="42" t="s">
        <v>159</v>
      </c>
      <c r="D43" s="41" t="s">
        <v>160</v>
      </c>
      <c r="E43" s="41" t="s">
        <v>96</v>
      </c>
      <c r="F43" s="43" t="n">
        <v>110000</v>
      </c>
      <c r="G43" s="27" t="n">
        <v>1</v>
      </c>
      <c r="H43" s="44" t="n">
        <v>110000</v>
      </c>
      <c r="I43" s="29" t="n">
        <v>0</v>
      </c>
      <c r="J43" s="44" t="n">
        <v>110000</v>
      </c>
      <c r="K43" s="30" t="n">
        <v>4443774.18</v>
      </c>
      <c r="L43" s="42" t="s">
        <v>161</v>
      </c>
    </row>
    <row r="44" customFormat="false" ht="27.75" hidden="false" customHeight="true" outlineLevel="0" collapsed="false">
      <c r="A44" s="32"/>
      <c r="B44" s="32"/>
      <c r="C44" s="32"/>
      <c r="D44" s="32"/>
      <c r="E44" s="33"/>
      <c r="F44" s="34"/>
      <c r="G44" s="27"/>
      <c r="H44" s="28"/>
      <c r="I44" s="29"/>
      <c r="J44" s="28"/>
      <c r="K44" s="30"/>
      <c r="L44" s="31"/>
    </row>
    <row r="45" customFormat="false" ht="27.75" hidden="false" customHeight="true" outlineLevel="0" collapsed="false">
      <c r="A45" s="32"/>
      <c r="B45" s="32"/>
      <c r="C45" s="32"/>
      <c r="D45" s="32"/>
      <c r="E45" s="33"/>
      <c r="F45" s="34"/>
      <c r="G45" s="27"/>
      <c r="H45" s="28"/>
      <c r="I45" s="29"/>
      <c r="J45" s="28"/>
      <c r="K45" s="30"/>
      <c r="L45" s="31"/>
    </row>
    <row r="46" customFormat="false" ht="27.75" hidden="false" customHeight="true" outlineLevel="0" collapsed="false">
      <c r="A46" s="32"/>
      <c r="B46" s="32"/>
      <c r="C46" s="32"/>
      <c r="D46" s="32"/>
      <c r="E46" s="33"/>
      <c r="F46" s="34"/>
      <c r="G46" s="27"/>
      <c r="H46" s="28"/>
      <c r="I46" s="29"/>
      <c r="J46" s="28"/>
      <c r="K46" s="30"/>
      <c r="L46" s="31"/>
    </row>
    <row r="47" customFormat="false" ht="27.75" hidden="false" customHeight="true" outlineLevel="0" collapsed="false">
      <c r="A47" s="32"/>
      <c r="B47" s="32"/>
      <c r="C47" s="32"/>
      <c r="D47" s="32"/>
      <c r="E47" s="33"/>
      <c r="F47" s="34"/>
      <c r="G47" s="27"/>
      <c r="H47" s="28"/>
      <c r="I47" s="29"/>
      <c r="J47" s="28"/>
      <c r="K47" s="30"/>
      <c r="L47" s="31"/>
    </row>
    <row r="48" customFormat="false" ht="27.75" hidden="false" customHeight="true" outlineLevel="0" collapsed="false">
      <c r="A48" s="32"/>
      <c r="B48" s="32"/>
      <c r="C48" s="32"/>
      <c r="D48" s="32"/>
      <c r="E48" s="33"/>
      <c r="F48" s="34"/>
      <c r="G48" s="27"/>
      <c r="H48" s="28"/>
      <c r="I48" s="29"/>
      <c r="J48" s="28"/>
      <c r="K48" s="30"/>
      <c r="L48" s="31"/>
    </row>
    <row r="49" customFormat="false" ht="27.75" hidden="false" customHeight="true" outlineLevel="0" collapsed="false">
      <c r="A49" s="32"/>
      <c r="B49" s="32"/>
      <c r="C49" s="32"/>
      <c r="D49" s="32"/>
      <c r="E49" s="33"/>
      <c r="F49" s="34"/>
      <c r="G49" s="27"/>
      <c r="H49" s="28"/>
      <c r="I49" s="29"/>
      <c r="J49" s="28"/>
      <c r="K49" s="30"/>
      <c r="L49" s="31"/>
    </row>
    <row r="50" customFormat="false" ht="27.75" hidden="false" customHeight="true" outlineLevel="0" collapsed="false">
      <c r="A50" s="32"/>
      <c r="B50" s="32"/>
      <c r="C50" s="32"/>
      <c r="D50" s="32"/>
      <c r="E50" s="33"/>
      <c r="F50" s="34"/>
      <c r="G50" s="27"/>
      <c r="H50" s="28"/>
      <c r="I50" s="29"/>
      <c r="J50" s="28"/>
      <c r="K50" s="30"/>
      <c r="L50" s="31"/>
    </row>
    <row r="51" customFormat="false" ht="27.75" hidden="false" customHeight="true" outlineLevel="0" collapsed="false">
      <c r="A51" s="32"/>
      <c r="B51" s="32"/>
      <c r="C51" s="32"/>
      <c r="D51" s="32"/>
      <c r="E51" s="33"/>
      <c r="F51" s="34"/>
      <c r="G51" s="27"/>
      <c r="H51" s="28"/>
      <c r="I51" s="29"/>
      <c r="J51" s="28"/>
      <c r="K51" s="30"/>
      <c r="L51" s="31"/>
    </row>
    <row r="52" customFormat="false" ht="27.75" hidden="false" customHeight="true" outlineLevel="0" collapsed="false">
      <c r="A52" s="32"/>
      <c r="B52" s="32"/>
      <c r="C52" s="32"/>
      <c r="D52" s="32"/>
      <c r="E52" s="33"/>
      <c r="F52" s="34"/>
      <c r="G52" s="27"/>
      <c r="H52" s="28"/>
      <c r="I52" s="29"/>
      <c r="J52" s="28"/>
      <c r="K52" s="30"/>
      <c r="L52" s="31"/>
    </row>
    <row r="53" customFormat="false" ht="27.75" hidden="false" customHeight="true" outlineLevel="0" collapsed="false">
      <c r="A53" s="32"/>
      <c r="B53" s="32"/>
      <c r="C53" s="32"/>
      <c r="D53" s="32"/>
      <c r="E53" s="33"/>
      <c r="F53" s="34"/>
      <c r="G53" s="27"/>
      <c r="H53" s="28"/>
      <c r="I53" s="29"/>
      <c r="J53" s="28"/>
      <c r="K53" s="30"/>
      <c r="L53" s="31"/>
    </row>
    <row r="54" customFormat="false" ht="27.75" hidden="false" customHeight="true" outlineLevel="0" collapsed="false">
      <c r="A54" s="32"/>
      <c r="B54" s="32"/>
      <c r="C54" s="32"/>
      <c r="D54" s="32"/>
      <c r="E54" s="33"/>
      <c r="F54" s="34"/>
      <c r="G54" s="27"/>
      <c r="H54" s="28"/>
      <c r="I54" s="29"/>
      <c r="J54" s="28"/>
      <c r="K54" s="30"/>
      <c r="L54" s="31"/>
    </row>
    <row r="55" customFormat="false" ht="27.75" hidden="false" customHeight="true" outlineLevel="0" collapsed="false">
      <c r="A55" s="32"/>
      <c r="B55" s="32"/>
      <c r="C55" s="32"/>
      <c r="D55" s="32"/>
      <c r="E55" s="33"/>
      <c r="F55" s="34"/>
      <c r="G55" s="27"/>
      <c r="H55" s="28"/>
      <c r="I55" s="29"/>
      <c r="J55" s="28"/>
      <c r="K55" s="30"/>
      <c r="L55" s="31"/>
    </row>
    <row r="56" customFormat="false" ht="27.75" hidden="false" customHeight="true" outlineLevel="0" collapsed="false">
      <c r="A56" s="32"/>
      <c r="B56" s="32"/>
      <c r="C56" s="32"/>
      <c r="D56" s="32"/>
      <c r="E56" s="33"/>
      <c r="F56" s="34"/>
      <c r="G56" s="27"/>
      <c r="H56" s="28"/>
      <c r="I56" s="29"/>
      <c r="J56" s="28"/>
      <c r="K56" s="30"/>
      <c r="L56" s="31"/>
    </row>
    <row r="57" customFormat="false" ht="27.75" hidden="false" customHeight="true" outlineLevel="0" collapsed="false">
      <c r="A57" s="32"/>
      <c r="B57" s="32"/>
      <c r="C57" s="32"/>
      <c r="D57" s="32"/>
      <c r="E57" s="33"/>
      <c r="F57" s="34"/>
      <c r="G57" s="27"/>
      <c r="H57" s="28"/>
      <c r="I57" s="29"/>
      <c r="J57" s="28"/>
      <c r="K57" s="30"/>
      <c r="L57" s="31"/>
    </row>
    <row r="58" customFormat="false" ht="27.75" hidden="false" customHeight="true" outlineLevel="0" collapsed="false">
      <c r="A58" s="32"/>
      <c r="B58" s="32"/>
      <c r="C58" s="32"/>
      <c r="D58" s="32"/>
      <c r="E58" s="33"/>
      <c r="F58" s="34"/>
      <c r="G58" s="27"/>
      <c r="H58" s="28"/>
      <c r="I58" s="29"/>
      <c r="J58" s="28"/>
      <c r="K58" s="30"/>
      <c r="L58" s="31"/>
    </row>
    <row r="59" customFormat="false" ht="27.75" hidden="false" customHeight="true" outlineLevel="0" collapsed="false">
      <c r="A59" s="32"/>
      <c r="B59" s="32"/>
      <c r="C59" s="32"/>
      <c r="D59" s="32"/>
      <c r="E59" s="33"/>
      <c r="F59" s="34"/>
      <c r="G59" s="27"/>
      <c r="H59" s="28"/>
      <c r="I59" s="29"/>
      <c r="J59" s="28"/>
      <c r="K59" s="30"/>
      <c r="L59" s="31"/>
    </row>
    <row r="60" customFormat="false" ht="27.75" hidden="false" customHeight="true" outlineLevel="0" collapsed="false">
      <c r="A60" s="32"/>
      <c r="B60" s="32"/>
      <c r="C60" s="32"/>
      <c r="D60" s="32"/>
      <c r="E60" s="33"/>
      <c r="F60" s="34"/>
      <c r="G60" s="27"/>
      <c r="H60" s="28"/>
      <c r="I60" s="29"/>
      <c r="J60" s="28"/>
      <c r="K60" s="30"/>
      <c r="L60" s="31"/>
    </row>
    <row r="61" customFormat="false" ht="27.75" hidden="false" customHeight="true" outlineLevel="0" collapsed="false">
      <c r="A61" s="32"/>
      <c r="B61" s="32"/>
      <c r="C61" s="32"/>
      <c r="D61" s="32"/>
      <c r="E61" s="33"/>
      <c r="F61" s="34"/>
      <c r="G61" s="27"/>
      <c r="H61" s="28"/>
      <c r="I61" s="29"/>
      <c r="J61" s="28"/>
      <c r="K61" s="30"/>
      <c r="L61" s="31"/>
    </row>
    <row r="62" customFormat="false" ht="27.75" hidden="false" customHeight="true" outlineLevel="0" collapsed="false">
      <c r="A62" s="32"/>
      <c r="B62" s="32"/>
      <c r="C62" s="32"/>
      <c r="D62" s="32"/>
      <c r="E62" s="33"/>
      <c r="F62" s="34"/>
      <c r="G62" s="27"/>
      <c r="H62" s="28"/>
      <c r="I62" s="29"/>
      <c r="J62" s="28"/>
      <c r="K62" s="30"/>
      <c r="L62" s="31"/>
    </row>
    <row r="63" customFormat="false" ht="27.75" hidden="false" customHeight="true" outlineLevel="0" collapsed="false">
      <c r="A63" s="32"/>
      <c r="B63" s="32"/>
      <c r="C63" s="32"/>
      <c r="D63" s="32"/>
      <c r="E63" s="33"/>
      <c r="F63" s="34"/>
      <c r="G63" s="27"/>
      <c r="H63" s="28"/>
      <c r="I63" s="29"/>
      <c r="J63" s="28"/>
      <c r="K63" s="30"/>
      <c r="L63" s="31"/>
    </row>
    <row r="64" customFormat="false" ht="27.75" hidden="false" customHeight="true" outlineLevel="0" collapsed="false">
      <c r="A64" s="32"/>
      <c r="B64" s="32"/>
      <c r="C64" s="32"/>
      <c r="D64" s="32"/>
      <c r="E64" s="33"/>
      <c r="F64" s="34"/>
      <c r="G64" s="27"/>
      <c r="H64" s="28"/>
      <c r="I64" s="29"/>
      <c r="J64" s="28"/>
      <c r="K64" s="30"/>
      <c r="L64" s="31"/>
    </row>
    <row r="65" customFormat="false" ht="27.75" hidden="false" customHeight="true" outlineLevel="0" collapsed="false">
      <c r="A65" s="32"/>
      <c r="B65" s="32"/>
      <c r="C65" s="32"/>
      <c r="D65" s="32"/>
      <c r="E65" s="33"/>
      <c r="F65" s="34"/>
      <c r="G65" s="27"/>
      <c r="H65" s="28"/>
      <c r="I65" s="29"/>
      <c r="J65" s="28"/>
      <c r="K65" s="30"/>
      <c r="L65" s="31"/>
    </row>
    <row r="66" customFormat="false" ht="27.75" hidden="false" customHeight="true" outlineLevel="0" collapsed="false">
      <c r="A66" s="32"/>
      <c r="B66" s="32"/>
      <c r="C66" s="32"/>
      <c r="D66" s="32"/>
      <c r="E66" s="33"/>
      <c r="F66" s="34"/>
      <c r="G66" s="27"/>
      <c r="H66" s="28"/>
      <c r="I66" s="29"/>
      <c r="J66" s="28"/>
      <c r="K66" s="30"/>
      <c r="L66" s="31"/>
    </row>
    <row r="67" customFormat="false" ht="27.75" hidden="false" customHeight="true" outlineLevel="0" collapsed="false">
      <c r="A67" s="32"/>
      <c r="B67" s="32"/>
      <c r="C67" s="32"/>
      <c r="D67" s="32"/>
      <c r="E67" s="33"/>
      <c r="F67" s="34"/>
      <c r="G67" s="27"/>
      <c r="H67" s="28"/>
      <c r="I67" s="29"/>
      <c r="J67" s="28"/>
      <c r="K67" s="30"/>
      <c r="L67" s="31"/>
    </row>
    <row r="68" customFormat="false" ht="27.75" hidden="false" customHeight="true" outlineLevel="0" collapsed="false">
      <c r="A68" s="32"/>
      <c r="B68" s="32"/>
      <c r="C68" s="32"/>
      <c r="D68" s="32"/>
      <c r="E68" s="33"/>
      <c r="F68" s="34"/>
      <c r="G68" s="27"/>
      <c r="H68" s="28"/>
      <c r="I68" s="29"/>
      <c r="J68" s="28"/>
      <c r="K68" s="30"/>
      <c r="L68" s="31"/>
    </row>
    <row r="69" customFormat="false" ht="27.75" hidden="false" customHeight="true" outlineLevel="0" collapsed="false">
      <c r="A69" s="32"/>
      <c r="B69" s="32"/>
      <c r="C69" s="32"/>
      <c r="D69" s="32"/>
      <c r="E69" s="33"/>
      <c r="F69" s="34"/>
      <c r="G69" s="27"/>
      <c r="H69" s="28"/>
      <c r="I69" s="29"/>
      <c r="J69" s="28"/>
      <c r="K69" s="30"/>
      <c r="L69" s="31"/>
    </row>
    <row r="70" customFormat="false" ht="27.75" hidden="false" customHeight="true" outlineLevel="0" collapsed="false">
      <c r="A70" s="32"/>
      <c r="B70" s="32"/>
      <c r="C70" s="32"/>
      <c r="D70" s="32"/>
      <c r="E70" s="33"/>
      <c r="F70" s="34"/>
      <c r="G70" s="27"/>
      <c r="H70" s="28"/>
      <c r="I70" s="29"/>
      <c r="J70" s="28"/>
      <c r="K70" s="30"/>
      <c r="L70" s="31"/>
    </row>
    <row r="71" customFormat="false" ht="27.75" hidden="false" customHeight="true" outlineLevel="0" collapsed="false">
      <c r="A71" s="32"/>
      <c r="B71" s="32"/>
      <c r="C71" s="32"/>
      <c r="D71" s="32"/>
      <c r="E71" s="33"/>
      <c r="F71" s="34"/>
      <c r="G71" s="27"/>
      <c r="H71" s="28"/>
      <c r="I71" s="29"/>
      <c r="J71" s="28"/>
      <c r="K71" s="30"/>
      <c r="L71" s="31"/>
    </row>
    <row r="72" customFormat="false" ht="27.75" hidden="false" customHeight="true" outlineLevel="0" collapsed="false">
      <c r="A72" s="32"/>
      <c r="B72" s="32"/>
      <c r="C72" s="32"/>
      <c r="D72" s="32"/>
      <c r="E72" s="33"/>
      <c r="F72" s="34"/>
      <c r="G72" s="27"/>
      <c r="H72" s="28"/>
      <c r="I72" s="29"/>
      <c r="J72" s="28"/>
      <c r="K72" s="30"/>
      <c r="L72" s="31"/>
    </row>
    <row r="73" customFormat="false" ht="27.75" hidden="false" customHeight="true" outlineLevel="0" collapsed="false">
      <c r="A73" s="32"/>
      <c r="B73" s="32"/>
      <c r="C73" s="32"/>
      <c r="D73" s="32"/>
      <c r="E73" s="33"/>
      <c r="F73" s="34"/>
      <c r="G73" s="27"/>
      <c r="H73" s="28"/>
      <c r="I73" s="29"/>
      <c r="J73" s="28"/>
      <c r="K73" s="30"/>
      <c r="L73" s="31"/>
    </row>
    <row r="74" customFormat="false" ht="27.75" hidden="false" customHeight="true" outlineLevel="0" collapsed="false">
      <c r="A74" s="32"/>
      <c r="B74" s="32"/>
      <c r="C74" s="32"/>
      <c r="D74" s="32"/>
      <c r="E74" s="33"/>
      <c r="F74" s="34"/>
      <c r="G74" s="27"/>
      <c r="H74" s="28"/>
      <c r="I74" s="29"/>
      <c r="J74" s="28"/>
      <c r="K74" s="30"/>
      <c r="L74" s="31"/>
    </row>
    <row r="75" customFormat="false" ht="27.75" hidden="false" customHeight="true" outlineLevel="0" collapsed="false">
      <c r="A75" s="32"/>
      <c r="B75" s="32"/>
      <c r="C75" s="32"/>
      <c r="D75" s="32"/>
      <c r="E75" s="33"/>
      <c r="F75" s="34"/>
      <c r="G75" s="27"/>
      <c r="H75" s="28"/>
      <c r="I75" s="29"/>
      <c r="J75" s="28"/>
      <c r="K75" s="30"/>
      <c r="L75" s="31"/>
    </row>
    <row r="76" customFormat="false" ht="27.75" hidden="false" customHeight="true" outlineLevel="0" collapsed="false">
      <c r="A76" s="32"/>
      <c r="B76" s="32"/>
      <c r="C76" s="32"/>
      <c r="D76" s="32"/>
      <c r="E76" s="33"/>
      <c r="F76" s="34"/>
      <c r="G76" s="27"/>
      <c r="H76" s="28"/>
      <c r="I76" s="29"/>
      <c r="J76" s="28"/>
      <c r="K76" s="30"/>
      <c r="L76" s="31"/>
    </row>
    <row r="77" customFormat="false" ht="27.75" hidden="false" customHeight="true" outlineLevel="0" collapsed="false">
      <c r="A77" s="32"/>
      <c r="B77" s="32"/>
      <c r="C77" s="32"/>
      <c r="D77" s="32"/>
      <c r="E77" s="33"/>
      <c r="F77" s="34"/>
      <c r="G77" s="27"/>
      <c r="H77" s="28"/>
      <c r="I77" s="29"/>
      <c r="J77" s="28"/>
      <c r="K77" s="30"/>
      <c r="L77" s="31"/>
    </row>
    <row r="78" customFormat="false" ht="27.75" hidden="false" customHeight="true" outlineLevel="0" collapsed="false">
      <c r="A78" s="32"/>
      <c r="B78" s="32"/>
      <c r="C78" s="32"/>
      <c r="D78" s="32"/>
      <c r="E78" s="33"/>
      <c r="F78" s="34"/>
      <c r="G78" s="27"/>
      <c r="H78" s="28"/>
      <c r="I78" s="29"/>
      <c r="J78" s="28"/>
      <c r="K78" s="30"/>
      <c r="L78" s="31"/>
    </row>
    <row r="79" customFormat="false" ht="27.75" hidden="false" customHeight="true" outlineLevel="0" collapsed="false">
      <c r="A79" s="32"/>
      <c r="B79" s="32"/>
      <c r="C79" s="32"/>
      <c r="D79" s="32"/>
      <c r="E79" s="33"/>
      <c r="F79" s="34"/>
      <c r="G79" s="27"/>
      <c r="H79" s="28"/>
      <c r="I79" s="29"/>
      <c r="J79" s="28"/>
      <c r="K79" s="30"/>
      <c r="L79" s="31"/>
    </row>
    <row r="80" customFormat="false" ht="27.75" hidden="false" customHeight="true" outlineLevel="0" collapsed="false">
      <c r="A80" s="32"/>
      <c r="B80" s="32"/>
      <c r="C80" s="32"/>
      <c r="D80" s="32"/>
      <c r="E80" s="33"/>
      <c r="F80" s="34"/>
      <c r="G80" s="27"/>
      <c r="H80" s="28"/>
      <c r="I80" s="29"/>
      <c r="J80" s="28"/>
      <c r="K80" s="30"/>
      <c r="L80" s="31"/>
    </row>
    <row r="81" customFormat="false" ht="27.75" hidden="false" customHeight="true" outlineLevel="0" collapsed="false">
      <c r="A81" s="32"/>
      <c r="B81" s="32"/>
      <c r="C81" s="32"/>
      <c r="D81" s="32"/>
      <c r="E81" s="33"/>
      <c r="F81" s="34"/>
      <c r="G81" s="27"/>
      <c r="H81" s="28"/>
      <c r="I81" s="29"/>
      <c r="J81" s="28"/>
      <c r="K81" s="30"/>
      <c r="L81" s="31"/>
    </row>
    <row r="82" customFormat="false" ht="27.75" hidden="false" customHeight="true" outlineLevel="0" collapsed="false">
      <c r="A82" s="32"/>
      <c r="B82" s="32"/>
      <c r="C82" s="32"/>
      <c r="D82" s="32"/>
      <c r="E82" s="33"/>
      <c r="F82" s="34"/>
      <c r="G82" s="27"/>
      <c r="H82" s="28"/>
      <c r="I82" s="29"/>
      <c r="J82" s="28"/>
      <c r="K82" s="30"/>
      <c r="L82" s="31"/>
    </row>
    <row r="83" customFormat="false" ht="27.75" hidden="false" customHeight="true" outlineLevel="0" collapsed="false">
      <c r="A83" s="32"/>
      <c r="B83" s="32"/>
      <c r="C83" s="32"/>
      <c r="D83" s="32"/>
      <c r="E83" s="33"/>
      <c r="F83" s="34"/>
      <c r="G83" s="27"/>
      <c r="H83" s="28"/>
      <c r="I83" s="29"/>
      <c r="J83" s="28"/>
      <c r="K83" s="30"/>
      <c r="L83" s="31"/>
    </row>
    <row r="84" customFormat="false" ht="27.75" hidden="false" customHeight="true" outlineLevel="0" collapsed="false">
      <c r="A84" s="32"/>
      <c r="B84" s="32"/>
      <c r="C84" s="32"/>
      <c r="D84" s="32"/>
      <c r="E84" s="33"/>
      <c r="F84" s="34"/>
      <c r="G84" s="27"/>
      <c r="H84" s="28"/>
      <c r="I84" s="29"/>
      <c r="J84" s="28"/>
      <c r="K84" s="30"/>
      <c r="L84" s="31"/>
    </row>
    <row r="85" customFormat="false" ht="27.75" hidden="false" customHeight="true" outlineLevel="0" collapsed="false">
      <c r="A85" s="32"/>
      <c r="B85" s="32"/>
      <c r="C85" s="32"/>
      <c r="D85" s="32"/>
      <c r="E85" s="33"/>
      <c r="F85" s="34"/>
      <c r="G85" s="27"/>
      <c r="H85" s="28"/>
      <c r="I85" s="29"/>
      <c r="J85" s="28"/>
      <c r="K85" s="30"/>
      <c r="L85" s="31"/>
    </row>
    <row r="86" customFormat="false" ht="27.75" hidden="false" customHeight="true" outlineLevel="0" collapsed="false">
      <c r="A86" s="32"/>
      <c r="B86" s="32"/>
      <c r="C86" s="32"/>
      <c r="D86" s="32"/>
      <c r="E86" s="33"/>
      <c r="F86" s="34"/>
      <c r="G86" s="27"/>
      <c r="H86" s="28"/>
      <c r="I86" s="29"/>
      <c r="J86" s="28"/>
      <c r="K86" s="30"/>
      <c r="L86" s="31"/>
    </row>
    <row r="87" customFormat="false" ht="27.75" hidden="false" customHeight="true" outlineLevel="0" collapsed="false">
      <c r="A87" s="32"/>
      <c r="B87" s="32"/>
      <c r="C87" s="32"/>
      <c r="D87" s="32"/>
      <c r="E87" s="33"/>
      <c r="F87" s="34"/>
      <c r="G87" s="27"/>
      <c r="H87" s="28"/>
      <c r="I87" s="29"/>
      <c r="J87" s="28"/>
      <c r="K87" s="30"/>
      <c r="L87" s="31"/>
    </row>
    <row r="88" customFormat="false" ht="27.75" hidden="false" customHeight="true" outlineLevel="0" collapsed="false">
      <c r="A88" s="32"/>
      <c r="B88" s="32"/>
      <c r="C88" s="32"/>
      <c r="D88" s="32"/>
      <c r="E88" s="33"/>
      <c r="F88" s="34"/>
      <c r="G88" s="27"/>
      <c r="H88" s="28"/>
      <c r="I88" s="29"/>
      <c r="J88" s="28"/>
      <c r="K88" s="30"/>
      <c r="L88" s="31"/>
    </row>
    <row r="89" customFormat="false" ht="27.75" hidden="false" customHeight="true" outlineLevel="0" collapsed="false">
      <c r="A89" s="32"/>
      <c r="B89" s="32"/>
      <c r="C89" s="32"/>
      <c r="D89" s="32"/>
      <c r="E89" s="33"/>
      <c r="F89" s="34"/>
      <c r="G89" s="27"/>
      <c r="H89" s="28"/>
      <c r="I89" s="29"/>
      <c r="J89" s="28"/>
      <c r="K89" s="30"/>
      <c r="L89" s="31"/>
    </row>
    <row r="90" customFormat="false" ht="27.75" hidden="false" customHeight="true" outlineLevel="0" collapsed="false">
      <c r="A90" s="32"/>
      <c r="B90" s="32"/>
      <c r="C90" s="32"/>
      <c r="D90" s="32"/>
      <c r="E90" s="33"/>
      <c r="F90" s="34"/>
      <c r="G90" s="27"/>
      <c r="H90" s="28"/>
      <c r="I90" s="29"/>
      <c r="J90" s="28"/>
      <c r="K90" s="30"/>
      <c r="L90" s="31"/>
    </row>
    <row r="91" customFormat="false" ht="27.75" hidden="false" customHeight="true" outlineLevel="0" collapsed="false">
      <c r="A91" s="32"/>
      <c r="B91" s="32"/>
      <c r="C91" s="32"/>
      <c r="D91" s="32"/>
      <c r="E91" s="33"/>
      <c r="F91" s="34"/>
      <c r="G91" s="27"/>
      <c r="H91" s="28"/>
      <c r="I91" s="29"/>
      <c r="J91" s="28"/>
      <c r="K91" s="30"/>
      <c r="L91" s="31"/>
    </row>
    <row r="92" customFormat="false" ht="27.75" hidden="false" customHeight="true" outlineLevel="0" collapsed="false">
      <c r="A92" s="32"/>
      <c r="B92" s="32"/>
      <c r="C92" s="32"/>
      <c r="D92" s="32"/>
      <c r="E92" s="33"/>
      <c r="F92" s="34"/>
      <c r="G92" s="27"/>
      <c r="H92" s="28"/>
      <c r="I92" s="29"/>
      <c r="J92" s="28"/>
      <c r="K92" s="30"/>
      <c r="L92" s="31"/>
    </row>
    <row r="93" customFormat="false" ht="27.75" hidden="false" customHeight="true" outlineLevel="0" collapsed="false">
      <c r="A93" s="32"/>
      <c r="B93" s="32"/>
      <c r="C93" s="32"/>
      <c r="D93" s="32"/>
      <c r="E93" s="33"/>
      <c r="F93" s="34"/>
      <c r="G93" s="27"/>
      <c r="H93" s="28"/>
      <c r="I93" s="29"/>
      <c r="J93" s="28"/>
      <c r="K93" s="30"/>
      <c r="L93" s="31"/>
    </row>
    <row r="94" customFormat="false" ht="27.75" hidden="false" customHeight="true" outlineLevel="0" collapsed="false">
      <c r="A94" s="32"/>
      <c r="B94" s="32"/>
      <c r="C94" s="32"/>
      <c r="D94" s="32"/>
      <c r="E94" s="33"/>
      <c r="F94" s="34"/>
      <c r="G94" s="27"/>
      <c r="H94" s="28"/>
      <c r="I94" s="29"/>
      <c r="J94" s="28"/>
      <c r="K94" s="30"/>
      <c r="L94" s="31"/>
    </row>
    <row r="95" customFormat="false" ht="27.75" hidden="false" customHeight="true" outlineLevel="0" collapsed="false">
      <c r="A95" s="32"/>
      <c r="B95" s="32"/>
      <c r="C95" s="32"/>
      <c r="D95" s="32"/>
      <c r="E95" s="33"/>
      <c r="F95" s="34"/>
      <c r="G95" s="27"/>
      <c r="H95" s="28"/>
      <c r="I95" s="29"/>
      <c r="J95" s="28"/>
      <c r="K95" s="30"/>
      <c r="L95" s="31"/>
    </row>
    <row r="96" customFormat="false" ht="27.75" hidden="false" customHeight="true" outlineLevel="0" collapsed="false">
      <c r="A96" s="32"/>
      <c r="B96" s="32"/>
      <c r="C96" s="32"/>
      <c r="D96" s="32"/>
      <c r="E96" s="33"/>
      <c r="F96" s="34"/>
      <c r="G96" s="27"/>
      <c r="H96" s="28"/>
      <c r="I96" s="29"/>
      <c r="J96" s="28"/>
      <c r="K96" s="30"/>
      <c r="L96" s="31"/>
    </row>
    <row r="97" customFormat="false" ht="27.75" hidden="false" customHeight="true" outlineLevel="0" collapsed="false">
      <c r="A97" s="32"/>
      <c r="B97" s="32"/>
      <c r="C97" s="32"/>
      <c r="D97" s="32"/>
      <c r="E97" s="33"/>
      <c r="F97" s="34"/>
      <c r="G97" s="27"/>
      <c r="H97" s="28"/>
      <c r="I97" s="29"/>
      <c r="J97" s="28"/>
      <c r="K97" s="30"/>
      <c r="L97" s="31"/>
    </row>
    <row r="98" customFormat="false" ht="27.75" hidden="false" customHeight="true" outlineLevel="0" collapsed="false">
      <c r="A98" s="32"/>
      <c r="B98" s="32"/>
      <c r="C98" s="32"/>
      <c r="D98" s="32"/>
      <c r="E98" s="33"/>
      <c r="F98" s="34"/>
      <c r="G98" s="27"/>
      <c r="H98" s="28"/>
      <c r="I98" s="29"/>
      <c r="J98" s="28"/>
      <c r="K98" s="30"/>
      <c r="L98" s="31"/>
    </row>
    <row r="99" customFormat="false" ht="27.75" hidden="false" customHeight="true" outlineLevel="0" collapsed="false">
      <c r="A99" s="32"/>
      <c r="B99" s="32"/>
      <c r="C99" s="32"/>
      <c r="D99" s="32"/>
      <c r="E99" s="33"/>
      <c r="F99" s="34"/>
      <c r="G99" s="27"/>
      <c r="H99" s="28"/>
      <c r="I99" s="29"/>
      <c r="J99" s="28"/>
      <c r="K99" s="30"/>
      <c r="L99" s="31"/>
    </row>
    <row r="100" customFormat="false" ht="27.75" hidden="false" customHeight="true" outlineLevel="0" collapsed="false">
      <c r="A100" s="32"/>
      <c r="B100" s="32"/>
      <c r="C100" s="32"/>
      <c r="D100" s="32"/>
      <c r="E100" s="33"/>
      <c r="F100" s="34"/>
      <c r="G100" s="27"/>
      <c r="H100" s="28"/>
      <c r="I100" s="29"/>
      <c r="J100" s="28"/>
      <c r="K100" s="30"/>
      <c r="L100" s="31"/>
    </row>
    <row r="101" customFormat="false" ht="27.75" hidden="false" customHeight="true" outlineLevel="0" collapsed="false">
      <c r="A101" s="32"/>
      <c r="B101" s="32"/>
      <c r="C101" s="32"/>
      <c r="D101" s="32"/>
      <c r="E101" s="33"/>
      <c r="F101" s="34"/>
      <c r="G101" s="27"/>
      <c r="H101" s="28"/>
      <c r="I101" s="29"/>
      <c r="J101" s="28"/>
      <c r="K101" s="30"/>
      <c r="L101" s="31"/>
    </row>
    <row r="102" customFormat="false" ht="27.75" hidden="false" customHeight="true" outlineLevel="0" collapsed="false">
      <c r="A102" s="32"/>
      <c r="B102" s="32"/>
      <c r="C102" s="32"/>
      <c r="D102" s="32"/>
      <c r="E102" s="33"/>
      <c r="F102" s="34"/>
      <c r="G102" s="27"/>
      <c r="H102" s="28"/>
      <c r="I102" s="29"/>
      <c r="J102" s="28"/>
      <c r="K102" s="30"/>
      <c r="L102" s="31"/>
    </row>
    <row r="103" customFormat="false" ht="27.75" hidden="false" customHeight="true" outlineLevel="0" collapsed="false">
      <c r="A103" s="32"/>
      <c r="B103" s="32"/>
      <c r="C103" s="32"/>
      <c r="D103" s="32"/>
      <c r="E103" s="33"/>
      <c r="F103" s="34"/>
      <c r="G103" s="27"/>
      <c r="H103" s="28"/>
      <c r="I103" s="29"/>
      <c r="J103" s="28"/>
      <c r="K103" s="30"/>
      <c r="L103" s="31"/>
    </row>
    <row r="104" customFormat="false" ht="27.75" hidden="false" customHeight="true" outlineLevel="0" collapsed="false">
      <c r="A104" s="32"/>
      <c r="B104" s="32"/>
      <c r="C104" s="32"/>
      <c r="D104" s="32"/>
      <c r="E104" s="33"/>
      <c r="F104" s="34"/>
      <c r="G104" s="27"/>
      <c r="H104" s="28"/>
      <c r="I104" s="29"/>
      <c r="J104" s="28"/>
      <c r="K104" s="30"/>
      <c r="L104" s="31"/>
    </row>
    <row r="105" customFormat="false" ht="27.75" hidden="false" customHeight="true" outlineLevel="0" collapsed="false">
      <c r="A105" s="32"/>
      <c r="B105" s="32"/>
      <c r="C105" s="32"/>
      <c r="D105" s="32"/>
      <c r="E105" s="33"/>
      <c r="F105" s="34"/>
      <c r="G105" s="27"/>
      <c r="H105" s="28"/>
      <c r="I105" s="29"/>
      <c r="J105" s="28"/>
      <c r="K105" s="30"/>
      <c r="L105" s="31"/>
    </row>
    <row r="106" customFormat="false" ht="27.75" hidden="false" customHeight="true" outlineLevel="0" collapsed="false">
      <c r="A106" s="32"/>
      <c r="B106" s="32"/>
      <c r="C106" s="32"/>
      <c r="D106" s="32"/>
      <c r="E106" s="33"/>
      <c r="F106" s="34"/>
      <c r="G106" s="27"/>
      <c r="H106" s="28"/>
      <c r="I106" s="29"/>
      <c r="J106" s="28"/>
      <c r="K106" s="30"/>
      <c r="L106" s="31"/>
    </row>
    <row r="107" customFormat="false" ht="27.75" hidden="false" customHeight="true" outlineLevel="0" collapsed="false">
      <c r="A107" s="32"/>
      <c r="B107" s="32"/>
      <c r="C107" s="32"/>
      <c r="D107" s="32"/>
      <c r="E107" s="33"/>
      <c r="F107" s="34"/>
      <c r="G107" s="27"/>
      <c r="H107" s="28"/>
      <c r="I107" s="29"/>
      <c r="J107" s="28"/>
      <c r="K107" s="30"/>
      <c r="L107" s="31"/>
    </row>
    <row r="108" customFormat="false" ht="27.75" hidden="false" customHeight="true" outlineLevel="0" collapsed="false">
      <c r="A108" s="32"/>
      <c r="B108" s="32"/>
      <c r="C108" s="32"/>
      <c r="D108" s="32"/>
      <c r="E108" s="33"/>
      <c r="F108" s="34"/>
      <c r="G108" s="27"/>
      <c r="H108" s="28"/>
      <c r="I108" s="29"/>
      <c r="J108" s="28"/>
      <c r="K108" s="30"/>
      <c r="L108" s="31"/>
    </row>
    <row r="109" customFormat="false" ht="27.75" hidden="false" customHeight="true" outlineLevel="0" collapsed="false">
      <c r="A109" s="32"/>
      <c r="B109" s="32"/>
      <c r="C109" s="32"/>
      <c r="D109" s="32"/>
      <c r="E109" s="33"/>
      <c r="F109" s="34"/>
      <c r="G109" s="27"/>
      <c r="H109" s="28"/>
      <c r="I109" s="29"/>
      <c r="J109" s="28"/>
      <c r="K109" s="30"/>
      <c r="L109" s="31"/>
    </row>
    <row r="110" customFormat="false" ht="27.75" hidden="false" customHeight="true" outlineLevel="0" collapsed="false">
      <c r="A110" s="32"/>
      <c r="B110" s="32"/>
      <c r="C110" s="32"/>
      <c r="D110" s="32"/>
      <c r="E110" s="33"/>
      <c r="F110" s="34"/>
      <c r="G110" s="27"/>
      <c r="H110" s="28"/>
      <c r="I110" s="29"/>
      <c r="J110" s="28"/>
      <c r="K110" s="30"/>
      <c r="L110" s="31"/>
    </row>
    <row r="111" customFormat="false" ht="27.75" hidden="false" customHeight="true" outlineLevel="0" collapsed="false">
      <c r="A111" s="32"/>
      <c r="B111" s="32"/>
      <c r="C111" s="32"/>
      <c r="D111" s="32"/>
      <c r="E111" s="33"/>
      <c r="F111" s="34"/>
      <c r="G111" s="27"/>
      <c r="H111" s="28"/>
      <c r="I111" s="29"/>
      <c r="J111" s="28"/>
      <c r="K111" s="30"/>
      <c r="L111" s="31"/>
    </row>
    <row r="112" customFormat="false" ht="27.75" hidden="false" customHeight="true" outlineLevel="0" collapsed="false">
      <c r="A112" s="32"/>
      <c r="B112" s="32"/>
      <c r="C112" s="32"/>
      <c r="D112" s="32"/>
      <c r="E112" s="33"/>
      <c r="F112" s="34"/>
      <c r="G112" s="27"/>
      <c r="H112" s="28"/>
      <c r="I112" s="29"/>
      <c r="J112" s="28"/>
      <c r="K112" s="30"/>
      <c r="L112" s="31"/>
    </row>
    <row r="113" customFormat="false" ht="27.75" hidden="false" customHeight="true" outlineLevel="0" collapsed="false">
      <c r="A113" s="32"/>
      <c r="B113" s="32"/>
      <c r="C113" s="32"/>
      <c r="D113" s="32"/>
      <c r="E113" s="33"/>
      <c r="F113" s="34"/>
      <c r="G113" s="27"/>
      <c r="H113" s="28"/>
      <c r="I113" s="29"/>
      <c r="J113" s="28"/>
      <c r="K113" s="30"/>
      <c r="L113" s="31"/>
    </row>
    <row r="114" customFormat="false" ht="27.75" hidden="false" customHeight="true" outlineLevel="0" collapsed="false">
      <c r="A114" s="32"/>
      <c r="B114" s="32"/>
      <c r="C114" s="32"/>
      <c r="D114" s="32"/>
      <c r="E114" s="33"/>
      <c r="F114" s="34"/>
      <c r="G114" s="27"/>
      <c r="H114" s="28"/>
      <c r="I114" s="29"/>
      <c r="J114" s="28"/>
      <c r="K114" s="30"/>
      <c r="L114" s="31"/>
    </row>
    <row r="115" customFormat="false" ht="27.75" hidden="false" customHeight="true" outlineLevel="0" collapsed="false">
      <c r="A115" s="32"/>
      <c r="B115" s="32"/>
      <c r="C115" s="32"/>
      <c r="D115" s="32"/>
      <c r="E115" s="33"/>
      <c r="F115" s="34"/>
      <c r="G115" s="27"/>
      <c r="H115" s="28"/>
      <c r="I115" s="29"/>
      <c r="J115" s="28"/>
      <c r="K115" s="30"/>
      <c r="L115" s="31"/>
    </row>
    <row r="116" customFormat="false" ht="27.75" hidden="false" customHeight="true" outlineLevel="0" collapsed="false">
      <c r="A116" s="32"/>
      <c r="B116" s="32"/>
      <c r="C116" s="32"/>
      <c r="D116" s="32"/>
      <c r="E116" s="33"/>
      <c r="F116" s="34"/>
      <c r="G116" s="27"/>
      <c r="H116" s="28"/>
      <c r="I116" s="29"/>
      <c r="J116" s="28"/>
      <c r="K116" s="30"/>
      <c r="L116" s="31"/>
    </row>
    <row r="117" customFormat="false" ht="27.75" hidden="false" customHeight="true" outlineLevel="0" collapsed="false">
      <c r="A117" s="32"/>
      <c r="B117" s="32"/>
      <c r="C117" s="32"/>
      <c r="D117" s="32"/>
      <c r="E117" s="33"/>
      <c r="F117" s="34"/>
      <c r="G117" s="27"/>
      <c r="H117" s="28"/>
      <c r="I117" s="29"/>
      <c r="J117" s="28"/>
      <c r="K117" s="30"/>
      <c r="L117" s="31"/>
    </row>
    <row r="118" customFormat="false" ht="27.75" hidden="false" customHeight="true" outlineLevel="0" collapsed="false">
      <c r="A118" s="32"/>
      <c r="B118" s="32"/>
      <c r="C118" s="32"/>
      <c r="D118" s="32"/>
      <c r="E118" s="33"/>
      <c r="F118" s="34"/>
      <c r="G118" s="27"/>
      <c r="H118" s="28"/>
      <c r="I118" s="29"/>
      <c r="J118" s="28"/>
      <c r="K118" s="30"/>
      <c r="L118" s="31"/>
    </row>
    <row r="119" customFormat="false" ht="27.75" hidden="false" customHeight="true" outlineLevel="0" collapsed="false">
      <c r="A119" s="32"/>
      <c r="B119" s="32"/>
      <c r="C119" s="32"/>
      <c r="D119" s="32"/>
      <c r="E119" s="33"/>
      <c r="F119" s="34"/>
      <c r="G119" s="27"/>
      <c r="H119" s="28"/>
      <c r="I119" s="29"/>
      <c r="J119" s="28"/>
      <c r="K119" s="30"/>
      <c r="L119" s="31"/>
    </row>
    <row r="120" customFormat="false" ht="27.75" hidden="false" customHeight="true" outlineLevel="0" collapsed="false">
      <c r="A120" s="32"/>
      <c r="B120" s="32"/>
      <c r="C120" s="32"/>
      <c r="D120" s="32"/>
      <c r="E120" s="33"/>
      <c r="F120" s="34"/>
      <c r="G120" s="27"/>
      <c r="H120" s="28"/>
      <c r="I120" s="29"/>
      <c r="J120" s="28"/>
      <c r="K120" s="30"/>
      <c r="L120" s="31"/>
    </row>
    <row r="121" customFormat="false" ht="27.75" hidden="false" customHeight="true" outlineLevel="0" collapsed="false">
      <c r="A121" s="32"/>
      <c r="B121" s="32"/>
      <c r="C121" s="32"/>
      <c r="D121" s="32"/>
      <c r="E121" s="33"/>
      <c r="F121" s="34"/>
      <c r="G121" s="27"/>
      <c r="H121" s="28"/>
      <c r="I121" s="29"/>
      <c r="J121" s="28"/>
      <c r="K121" s="30"/>
      <c r="L121" s="31"/>
    </row>
    <row r="122" customFormat="false" ht="27.75" hidden="false" customHeight="true" outlineLevel="0" collapsed="false">
      <c r="A122" s="32"/>
      <c r="B122" s="32"/>
      <c r="C122" s="32"/>
      <c r="D122" s="32"/>
      <c r="E122" s="33"/>
      <c r="F122" s="34"/>
      <c r="G122" s="27"/>
      <c r="H122" s="28"/>
      <c r="I122" s="29"/>
      <c r="J122" s="28"/>
      <c r="K122" s="30"/>
      <c r="L122" s="31"/>
    </row>
    <row r="123" customFormat="false" ht="27.75" hidden="false" customHeight="true" outlineLevel="0" collapsed="false">
      <c r="A123" s="32"/>
      <c r="B123" s="32"/>
      <c r="C123" s="32"/>
      <c r="D123" s="32"/>
      <c r="E123" s="33"/>
      <c r="F123" s="34"/>
      <c r="G123" s="27"/>
      <c r="H123" s="28"/>
      <c r="I123" s="29"/>
      <c r="J123" s="28"/>
      <c r="K123" s="30"/>
      <c r="L123" s="31"/>
    </row>
    <row r="124" customFormat="false" ht="27.75" hidden="false" customHeight="true" outlineLevel="0" collapsed="false">
      <c r="A124" s="32"/>
      <c r="B124" s="32"/>
      <c r="C124" s="32"/>
      <c r="D124" s="32"/>
      <c r="E124" s="33"/>
      <c r="F124" s="34"/>
      <c r="G124" s="27"/>
      <c r="H124" s="28"/>
      <c r="I124" s="29"/>
      <c r="J124" s="28"/>
      <c r="K124" s="30"/>
      <c r="L124" s="31"/>
    </row>
    <row r="125" customFormat="false" ht="27.75" hidden="false" customHeight="true" outlineLevel="0" collapsed="false">
      <c r="A125" s="32"/>
      <c r="B125" s="32"/>
      <c r="C125" s="32"/>
      <c r="D125" s="32"/>
      <c r="E125" s="33"/>
      <c r="F125" s="34"/>
      <c r="G125" s="27"/>
      <c r="H125" s="28"/>
      <c r="I125" s="29"/>
      <c r="J125" s="28"/>
      <c r="K125" s="30"/>
      <c r="L125" s="31"/>
    </row>
    <row r="126" customFormat="false" ht="27.75" hidden="false" customHeight="true" outlineLevel="0" collapsed="false">
      <c r="A126" s="32"/>
      <c r="B126" s="32"/>
      <c r="C126" s="32"/>
      <c r="D126" s="32"/>
      <c r="E126" s="33"/>
      <c r="F126" s="34"/>
      <c r="G126" s="27"/>
      <c r="H126" s="28"/>
      <c r="I126" s="29"/>
      <c r="J126" s="28"/>
      <c r="K126" s="30"/>
      <c r="L126" s="31"/>
    </row>
    <row r="127" customFormat="false" ht="27.75" hidden="false" customHeight="true" outlineLevel="0" collapsed="false">
      <c r="A127" s="32"/>
      <c r="B127" s="32"/>
      <c r="C127" s="32"/>
      <c r="D127" s="32"/>
      <c r="E127" s="33"/>
      <c r="F127" s="34"/>
      <c r="G127" s="27"/>
      <c r="H127" s="28"/>
      <c r="I127" s="29"/>
      <c r="J127" s="28"/>
      <c r="K127" s="30"/>
      <c r="L127" s="31"/>
    </row>
    <row r="128" customFormat="false" ht="27.75" hidden="false" customHeight="true" outlineLevel="0" collapsed="false">
      <c r="A128" s="32"/>
      <c r="B128" s="32"/>
      <c r="C128" s="32"/>
      <c r="D128" s="32"/>
      <c r="E128" s="33"/>
      <c r="F128" s="34"/>
      <c r="G128" s="27"/>
      <c r="H128" s="28"/>
      <c r="I128" s="29"/>
      <c r="J128" s="28"/>
      <c r="K128" s="30"/>
      <c r="L128" s="31"/>
    </row>
    <row r="129" customFormat="false" ht="27.75" hidden="false" customHeight="true" outlineLevel="0" collapsed="false">
      <c r="A129" s="32"/>
      <c r="B129" s="32"/>
      <c r="C129" s="32"/>
      <c r="D129" s="32"/>
      <c r="E129" s="33"/>
      <c r="F129" s="34"/>
      <c r="G129" s="27"/>
      <c r="H129" s="28"/>
      <c r="I129" s="29"/>
      <c r="J129" s="28"/>
      <c r="K129" s="30"/>
      <c r="L129" s="31"/>
    </row>
    <row r="130" customFormat="false" ht="27.75" hidden="false" customHeight="true" outlineLevel="0" collapsed="false">
      <c r="A130" s="32"/>
      <c r="B130" s="32"/>
      <c r="C130" s="32"/>
      <c r="D130" s="32"/>
      <c r="E130" s="33"/>
      <c r="F130" s="34"/>
      <c r="G130" s="27"/>
      <c r="H130" s="28"/>
      <c r="I130" s="29"/>
      <c r="J130" s="28"/>
      <c r="K130" s="30"/>
      <c r="L130" s="31"/>
    </row>
    <row r="131" customFormat="false" ht="27.75" hidden="false" customHeight="true" outlineLevel="0" collapsed="false">
      <c r="A131" s="32"/>
      <c r="B131" s="32"/>
      <c r="C131" s="32"/>
      <c r="D131" s="32"/>
      <c r="E131" s="33"/>
      <c r="F131" s="34"/>
      <c r="G131" s="27"/>
      <c r="H131" s="28"/>
      <c r="I131" s="29"/>
      <c r="J131" s="28"/>
      <c r="K131" s="30"/>
      <c r="L131" s="31"/>
    </row>
    <row r="132" customFormat="false" ht="27.75" hidden="false" customHeight="true" outlineLevel="0" collapsed="false">
      <c r="A132" s="32"/>
      <c r="B132" s="32"/>
      <c r="C132" s="32"/>
      <c r="D132" s="32"/>
      <c r="E132" s="33"/>
      <c r="F132" s="34"/>
      <c r="G132" s="27"/>
      <c r="H132" s="28"/>
      <c r="I132" s="29"/>
      <c r="J132" s="28"/>
      <c r="K132" s="30"/>
      <c r="L132" s="31"/>
    </row>
    <row r="133" customFormat="false" ht="27.75" hidden="false" customHeight="true" outlineLevel="0" collapsed="false">
      <c r="A133" s="32"/>
      <c r="B133" s="32"/>
      <c r="C133" s="32"/>
      <c r="D133" s="32"/>
      <c r="E133" s="33"/>
      <c r="F133" s="34"/>
      <c r="G133" s="27"/>
      <c r="H133" s="28"/>
      <c r="I133" s="29"/>
      <c r="J133" s="28"/>
      <c r="K133" s="30"/>
      <c r="L133" s="31"/>
    </row>
    <row r="134" customFormat="false" ht="27.75" hidden="false" customHeight="true" outlineLevel="0" collapsed="false">
      <c r="A134" s="32"/>
      <c r="B134" s="32"/>
      <c r="C134" s="32"/>
      <c r="D134" s="32"/>
      <c r="E134" s="33"/>
      <c r="F134" s="34"/>
      <c r="G134" s="27"/>
      <c r="H134" s="28"/>
      <c r="I134" s="29"/>
      <c r="J134" s="28"/>
      <c r="K134" s="30"/>
      <c r="L134" s="31"/>
    </row>
    <row r="135" customFormat="false" ht="27.75" hidden="false" customHeight="true" outlineLevel="0" collapsed="false">
      <c r="A135" s="32"/>
      <c r="B135" s="32"/>
      <c r="C135" s="32"/>
      <c r="D135" s="32"/>
      <c r="E135" s="33"/>
      <c r="F135" s="34"/>
      <c r="G135" s="27"/>
      <c r="H135" s="28"/>
      <c r="I135" s="29"/>
      <c r="J135" s="28"/>
      <c r="K135" s="30"/>
      <c r="L135" s="31"/>
    </row>
    <row r="136" customFormat="false" ht="27.75" hidden="false" customHeight="true" outlineLevel="0" collapsed="false">
      <c r="A136" s="32"/>
      <c r="B136" s="32"/>
      <c r="C136" s="32"/>
      <c r="D136" s="32"/>
      <c r="E136" s="33"/>
      <c r="F136" s="34"/>
      <c r="G136" s="27"/>
      <c r="H136" s="28"/>
      <c r="I136" s="29"/>
      <c r="J136" s="28"/>
      <c r="K136" s="30"/>
      <c r="L136" s="31"/>
    </row>
    <row r="137" customFormat="false" ht="27.75" hidden="false" customHeight="true" outlineLevel="0" collapsed="false">
      <c r="A137" s="32"/>
      <c r="B137" s="32"/>
      <c r="C137" s="32"/>
      <c r="D137" s="32"/>
      <c r="E137" s="33"/>
      <c r="F137" s="34"/>
      <c r="G137" s="27"/>
      <c r="H137" s="28"/>
      <c r="I137" s="29"/>
      <c r="J137" s="28"/>
      <c r="K137" s="30"/>
      <c r="L137" s="31"/>
    </row>
    <row r="138" customFormat="false" ht="27.75" hidden="false" customHeight="true" outlineLevel="0" collapsed="false">
      <c r="A138" s="32"/>
      <c r="B138" s="32"/>
      <c r="C138" s="32"/>
      <c r="D138" s="32"/>
      <c r="E138" s="33"/>
      <c r="F138" s="34"/>
      <c r="G138" s="27"/>
      <c r="H138" s="28"/>
      <c r="I138" s="29"/>
      <c r="J138" s="28"/>
      <c r="K138" s="30"/>
      <c r="L138" s="31"/>
    </row>
    <row r="139" customFormat="false" ht="27.75" hidden="false" customHeight="true" outlineLevel="0" collapsed="false">
      <c r="A139" s="32"/>
      <c r="B139" s="32"/>
      <c r="C139" s="32"/>
      <c r="D139" s="32"/>
      <c r="E139" s="33"/>
      <c r="F139" s="34"/>
      <c r="G139" s="27"/>
      <c r="H139" s="28"/>
      <c r="I139" s="29"/>
      <c r="J139" s="28"/>
      <c r="K139" s="30"/>
      <c r="L139" s="31"/>
    </row>
    <row r="140" customFormat="false" ht="27.75" hidden="false" customHeight="true" outlineLevel="0" collapsed="false">
      <c r="A140" s="32"/>
      <c r="B140" s="32"/>
      <c r="C140" s="32"/>
      <c r="D140" s="32"/>
      <c r="E140" s="33"/>
      <c r="F140" s="34"/>
      <c r="G140" s="27"/>
      <c r="H140" s="28"/>
      <c r="I140" s="29"/>
      <c r="J140" s="28"/>
      <c r="K140" s="30"/>
      <c r="L140" s="31"/>
    </row>
    <row r="141" customFormat="false" ht="27.75" hidden="false" customHeight="true" outlineLevel="0" collapsed="false">
      <c r="A141" s="32"/>
      <c r="B141" s="32"/>
      <c r="C141" s="32"/>
      <c r="D141" s="32"/>
      <c r="E141" s="33"/>
      <c r="F141" s="34"/>
      <c r="G141" s="27"/>
      <c r="H141" s="28"/>
      <c r="I141" s="29"/>
      <c r="J141" s="28"/>
      <c r="K141" s="30"/>
      <c r="L141" s="31"/>
    </row>
    <row r="142" customFormat="false" ht="27.75" hidden="false" customHeight="true" outlineLevel="0" collapsed="false">
      <c r="A142" s="32"/>
      <c r="B142" s="32"/>
      <c r="C142" s="32"/>
      <c r="D142" s="32"/>
      <c r="E142" s="33"/>
      <c r="F142" s="34"/>
      <c r="G142" s="27"/>
      <c r="H142" s="28"/>
      <c r="I142" s="29"/>
      <c r="J142" s="28"/>
      <c r="K142" s="30"/>
      <c r="L142" s="31"/>
    </row>
    <row r="143" customFormat="false" ht="27.75" hidden="false" customHeight="true" outlineLevel="0" collapsed="false">
      <c r="A143" s="32"/>
      <c r="B143" s="32"/>
      <c r="C143" s="32"/>
      <c r="D143" s="32"/>
      <c r="E143" s="33"/>
      <c r="F143" s="34"/>
      <c r="G143" s="27"/>
      <c r="H143" s="28"/>
      <c r="I143" s="29"/>
      <c r="J143" s="28"/>
      <c r="K143" s="30"/>
      <c r="L143" s="31"/>
    </row>
    <row r="144" customFormat="false" ht="27.75" hidden="false" customHeight="true" outlineLevel="0" collapsed="false">
      <c r="A144" s="32"/>
      <c r="B144" s="32"/>
      <c r="C144" s="32"/>
      <c r="D144" s="32"/>
      <c r="E144" s="33"/>
      <c r="F144" s="34"/>
      <c r="G144" s="27"/>
      <c r="H144" s="28"/>
      <c r="I144" s="29"/>
      <c r="J144" s="28"/>
      <c r="K144" s="30"/>
      <c r="L144" s="31"/>
    </row>
    <row r="145" customFormat="false" ht="27.75" hidden="false" customHeight="true" outlineLevel="0" collapsed="false">
      <c r="A145" s="32"/>
      <c r="B145" s="32"/>
      <c r="C145" s="32"/>
      <c r="D145" s="32"/>
      <c r="E145" s="33"/>
      <c r="F145" s="34"/>
      <c r="G145" s="27"/>
      <c r="H145" s="28"/>
      <c r="I145" s="29"/>
      <c r="J145" s="28"/>
      <c r="K145" s="30"/>
      <c r="L145" s="31"/>
    </row>
    <row r="146" customFormat="false" ht="27.75" hidden="false" customHeight="true" outlineLevel="0" collapsed="false">
      <c r="A146" s="32"/>
      <c r="B146" s="32"/>
      <c r="C146" s="32"/>
      <c r="D146" s="32"/>
      <c r="E146" s="33"/>
      <c r="F146" s="34"/>
      <c r="G146" s="27"/>
      <c r="H146" s="28"/>
      <c r="I146" s="29"/>
      <c r="J146" s="28"/>
      <c r="K146" s="30"/>
      <c r="L146" s="31"/>
    </row>
    <row r="147" customFormat="false" ht="27.75" hidden="false" customHeight="true" outlineLevel="0" collapsed="false">
      <c r="A147" s="32"/>
      <c r="B147" s="32"/>
      <c r="C147" s="32"/>
      <c r="D147" s="32"/>
      <c r="E147" s="33"/>
      <c r="F147" s="34"/>
      <c r="G147" s="27"/>
      <c r="H147" s="28"/>
      <c r="I147" s="29"/>
      <c r="J147" s="28"/>
      <c r="K147" s="30"/>
      <c r="L147" s="31"/>
    </row>
    <row r="148" customFormat="false" ht="27.75" hidden="false" customHeight="true" outlineLevel="0" collapsed="false">
      <c r="A148" s="32"/>
      <c r="B148" s="32"/>
      <c r="C148" s="32"/>
      <c r="D148" s="32"/>
      <c r="E148" s="33"/>
      <c r="F148" s="34"/>
      <c r="G148" s="27"/>
      <c r="H148" s="28"/>
      <c r="I148" s="29"/>
      <c r="J148" s="28"/>
      <c r="K148" s="30"/>
      <c r="L148" s="31"/>
    </row>
    <row r="149" customFormat="false" ht="27.75" hidden="false" customHeight="true" outlineLevel="0" collapsed="false">
      <c r="A149" s="32"/>
      <c r="B149" s="32"/>
      <c r="C149" s="32"/>
      <c r="D149" s="32"/>
      <c r="E149" s="33"/>
      <c r="F149" s="34"/>
      <c r="G149" s="27"/>
      <c r="H149" s="28"/>
      <c r="I149" s="29"/>
      <c r="J149" s="28"/>
      <c r="K149" s="30"/>
      <c r="L149" s="31"/>
    </row>
    <row r="150" customFormat="false" ht="27.75" hidden="false" customHeight="true" outlineLevel="0" collapsed="false">
      <c r="A150" s="32"/>
      <c r="B150" s="32"/>
      <c r="C150" s="32"/>
      <c r="D150" s="32"/>
      <c r="E150" s="33"/>
      <c r="F150" s="34"/>
      <c r="G150" s="27"/>
      <c r="H150" s="28"/>
      <c r="I150" s="29"/>
      <c r="J150" s="28"/>
      <c r="K150" s="30"/>
      <c r="L150" s="31"/>
    </row>
    <row r="151" customFormat="false" ht="27.75" hidden="false" customHeight="true" outlineLevel="0" collapsed="false">
      <c r="A151" s="32"/>
      <c r="B151" s="32"/>
      <c r="C151" s="32"/>
      <c r="D151" s="32"/>
      <c r="E151" s="33"/>
      <c r="F151" s="34"/>
      <c r="G151" s="27"/>
      <c r="H151" s="28"/>
      <c r="I151" s="29"/>
      <c r="J151" s="28"/>
      <c r="K151" s="30"/>
      <c r="L151" s="31"/>
    </row>
    <row r="152" customFormat="false" ht="27.75" hidden="false" customHeight="true" outlineLevel="0" collapsed="false">
      <c r="A152" s="32"/>
      <c r="B152" s="32"/>
      <c r="C152" s="32"/>
      <c r="D152" s="32"/>
      <c r="E152" s="33"/>
      <c r="F152" s="34"/>
      <c r="G152" s="27"/>
      <c r="H152" s="28"/>
      <c r="I152" s="29"/>
      <c r="J152" s="28"/>
      <c r="K152" s="30"/>
      <c r="L152" s="31"/>
    </row>
    <row r="153" customFormat="false" ht="27.75" hidden="false" customHeight="true" outlineLevel="0" collapsed="false">
      <c r="A153" s="32"/>
      <c r="B153" s="32"/>
      <c r="C153" s="32"/>
      <c r="D153" s="32"/>
      <c r="E153" s="33"/>
      <c r="F153" s="34"/>
      <c r="G153" s="27"/>
      <c r="H153" s="28"/>
      <c r="I153" s="29"/>
      <c r="J153" s="28"/>
      <c r="K153" s="30"/>
      <c r="L153" s="31"/>
    </row>
    <row r="154" customFormat="false" ht="27.75" hidden="false" customHeight="true" outlineLevel="0" collapsed="false">
      <c r="A154" s="32"/>
      <c r="B154" s="32"/>
      <c r="C154" s="32"/>
      <c r="D154" s="32"/>
      <c r="E154" s="33"/>
      <c r="F154" s="34"/>
      <c r="G154" s="27"/>
      <c r="H154" s="28"/>
      <c r="I154" s="29"/>
      <c r="J154" s="28"/>
      <c r="K154" s="30"/>
      <c r="L154" s="31"/>
    </row>
    <row r="155" customFormat="false" ht="27.75" hidden="false" customHeight="true" outlineLevel="0" collapsed="false">
      <c r="A155" s="32"/>
      <c r="B155" s="32"/>
      <c r="C155" s="32"/>
      <c r="D155" s="32"/>
      <c r="E155" s="33"/>
      <c r="F155" s="34"/>
      <c r="G155" s="27"/>
      <c r="H155" s="28"/>
      <c r="I155" s="29"/>
      <c r="J155" s="28"/>
      <c r="K155" s="30"/>
      <c r="L155" s="31"/>
    </row>
    <row r="156" customFormat="false" ht="27.75" hidden="false" customHeight="true" outlineLevel="0" collapsed="false">
      <c r="A156" s="32"/>
      <c r="B156" s="32"/>
      <c r="C156" s="32"/>
      <c r="D156" s="32"/>
      <c r="E156" s="33"/>
      <c r="F156" s="34"/>
      <c r="G156" s="27"/>
      <c r="H156" s="28"/>
      <c r="I156" s="29"/>
      <c r="J156" s="28"/>
      <c r="K156" s="30"/>
      <c r="L156" s="31"/>
    </row>
    <row r="157" customFormat="false" ht="27.75" hidden="false" customHeight="true" outlineLevel="0" collapsed="false">
      <c r="A157" s="32"/>
      <c r="B157" s="32"/>
      <c r="C157" s="32"/>
      <c r="D157" s="32"/>
      <c r="E157" s="33"/>
      <c r="F157" s="34"/>
      <c r="G157" s="27"/>
      <c r="H157" s="28"/>
      <c r="I157" s="29"/>
      <c r="J157" s="28"/>
      <c r="K157" s="30"/>
      <c r="L157" s="31"/>
    </row>
    <row r="158" customFormat="false" ht="27.75" hidden="false" customHeight="true" outlineLevel="0" collapsed="false">
      <c r="A158" s="32"/>
      <c r="B158" s="32"/>
      <c r="C158" s="32"/>
      <c r="D158" s="32"/>
      <c r="E158" s="33"/>
      <c r="F158" s="34"/>
      <c r="G158" s="27"/>
      <c r="H158" s="28"/>
      <c r="I158" s="29"/>
      <c r="J158" s="28"/>
      <c r="K158" s="30"/>
      <c r="L158" s="31"/>
    </row>
    <row r="159" customFormat="false" ht="27.75" hidden="false" customHeight="true" outlineLevel="0" collapsed="false">
      <c r="A159" s="32"/>
      <c r="B159" s="32"/>
      <c r="C159" s="32"/>
      <c r="D159" s="32"/>
      <c r="E159" s="33"/>
      <c r="F159" s="34"/>
      <c r="G159" s="27"/>
      <c r="H159" s="28"/>
      <c r="I159" s="29"/>
      <c r="J159" s="28"/>
      <c r="K159" s="30"/>
      <c r="L159" s="31"/>
    </row>
    <row r="160" customFormat="false" ht="27.75" hidden="false" customHeight="true" outlineLevel="0" collapsed="false">
      <c r="A160" s="32"/>
      <c r="B160" s="32"/>
      <c r="C160" s="32"/>
      <c r="D160" s="32"/>
      <c r="E160" s="33"/>
      <c r="F160" s="34"/>
      <c r="G160" s="27"/>
      <c r="H160" s="28"/>
      <c r="I160" s="29"/>
      <c r="J160" s="28"/>
      <c r="K160" s="30"/>
      <c r="L160" s="31"/>
    </row>
    <row r="161" customFormat="false" ht="27.75" hidden="false" customHeight="true" outlineLevel="0" collapsed="false">
      <c r="A161" s="32"/>
      <c r="B161" s="32"/>
      <c r="C161" s="32"/>
      <c r="D161" s="32"/>
      <c r="E161" s="33"/>
      <c r="F161" s="34"/>
      <c r="G161" s="27"/>
      <c r="H161" s="28"/>
      <c r="I161" s="29"/>
      <c r="J161" s="28"/>
      <c r="K161" s="30"/>
      <c r="L161" s="31"/>
    </row>
    <row r="162" customFormat="false" ht="27.75" hidden="false" customHeight="true" outlineLevel="0" collapsed="false">
      <c r="A162" s="32"/>
      <c r="B162" s="32"/>
      <c r="C162" s="32"/>
      <c r="D162" s="32"/>
      <c r="E162" s="33"/>
      <c r="F162" s="34"/>
      <c r="G162" s="27"/>
      <c r="H162" s="28"/>
      <c r="I162" s="29"/>
      <c r="J162" s="28"/>
      <c r="K162" s="30"/>
      <c r="L162" s="31"/>
    </row>
    <row r="163" customFormat="false" ht="27.75" hidden="false" customHeight="true" outlineLevel="0" collapsed="false">
      <c r="A163" s="32"/>
      <c r="B163" s="32"/>
      <c r="C163" s="32"/>
      <c r="D163" s="32"/>
      <c r="E163" s="33"/>
      <c r="F163" s="34"/>
      <c r="G163" s="27"/>
      <c r="H163" s="28"/>
      <c r="I163" s="29"/>
      <c r="J163" s="28"/>
      <c r="K163" s="30"/>
      <c r="L163" s="31"/>
    </row>
    <row r="164" customFormat="false" ht="27.75" hidden="false" customHeight="true" outlineLevel="0" collapsed="false">
      <c r="A164" s="32"/>
      <c r="B164" s="32"/>
      <c r="C164" s="32"/>
      <c r="D164" s="32"/>
      <c r="E164" s="33"/>
      <c r="F164" s="34"/>
      <c r="G164" s="27"/>
      <c r="H164" s="28"/>
      <c r="I164" s="29"/>
      <c r="J164" s="28"/>
      <c r="K164" s="30"/>
      <c r="L164" s="31"/>
    </row>
    <row r="165" customFormat="false" ht="27.75" hidden="false" customHeight="true" outlineLevel="0" collapsed="false">
      <c r="A165" s="32"/>
      <c r="B165" s="32"/>
      <c r="C165" s="32"/>
      <c r="D165" s="32"/>
      <c r="E165" s="33"/>
      <c r="F165" s="34"/>
      <c r="G165" s="27"/>
      <c r="H165" s="28"/>
      <c r="I165" s="29"/>
      <c r="J165" s="28"/>
      <c r="K165" s="30"/>
      <c r="L165" s="31"/>
    </row>
    <row r="166" customFormat="false" ht="27.75" hidden="false" customHeight="true" outlineLevel="0" collapsed="false">
      <c r="A166" s="32"/>
      <c r="B166" s="32"/>
      <c r="C166" s="32"/>
      <c r="D166" s="32"/>
      <c r="E166" s="33"/>
      <c r="F166" s="34"/>
      <c r="G166" s="27"/>
      <c r="H166" s="28"/>
      <c r="I166" s="29"/>
      <c r="J166" s="28"/>
      <c r="K166" s="30"/>
      <c r="L166" s="31"/>
    </row>
    <row r="167" customFormat="false" ht="27.75" hidden="false" customHeight="true" outlineLevel="0" collapsed="false">
      <c r="A167" s="32"/>
      <c r="B167" s="32"/>
      <c r="C167" s="32"/>
      <c r="D167" s="32"/>
      <c r="E167" s="33"/>
      <c r="F167" s="34"/>
      <c r="G167" s="27"/>
      <c r="H167" s="28"/>
      <c r="I167" s="29"/>
      <c r="J167" s="28"/>
      <c r="K167" s="30"/>
      <c r="L167" s="31"/>
    </row>
    <row r="168" customFormat="false" ht="27.75" hidden="false" customHeight="true" outlineLevel="0" collapsed="false">
      <c r="A168" s="32"/>
      <c r="B168" s="32"/>
      <c r="C168" s="32"/>
      <c r="D168" s="32"/>
      <c r="E168" s="33"/>
      <c r="F168" s="34"/>
      <c r="G168" s="27"/>
      <c r="H168" s="28"/>
      <c r="I168" s="29"/>
      <c r="J168" s="28"/>
      <c r="K168" s="30"/>
      <c r="L168" s="31"/>
    </row>
    <row r="169" customFormat="false" ht="27.75" hidden="false" customHeight="true" outlineLevel="0" collapsed="false">
      <c r="A169" s="32"/>
      <c r="B169" s="32"/>
      <c r="C169" s="32"/>
      <c r="D169" s="32"/>
      <c r="E169" s="33"/>
      <c r="F169" s="34"/>
      <c r="G169" s="27"/>
      <c r="H169" s="28"/>
      <c r="I169" s="29"/>
      <c r="J169" s="28"/>
      <c r="K169" s="30"/>
      <c r="L169" s="31"/>
    </row>
    <row r="170" customFormat="false" ht="27.75" hidden="false" customHeight="true" outlineLevel="0" collapsed="false">
      <c r="A170" s="32"/>
      <c r="B170" s="32"/>
      <c r="C170" s="32"/>
      <c r="D170" s="32"/>
      <c r="E170" s="33"/>
      <c r="F170" s="34"/>
      <c r="G170" s="27"/>
      <c r="H170" s="28"/>
      <c r="I170" s="29"/>
      <c r="J170" s="28"/>
      <c r="K170" s="30"/>
      <c r="L170" s="31"/>
    </row>
    <row r="171" customFormat="false" ht="27.75" hidden="false" customHeight="true" outlineLevel="0" collapsed="false">
      <c r="A171" s="32"/>
      <c r="B171" s="32"/>
      <c r="C171" s="32"/>
      <c r="D171" s="32"/>
      <c r="E171" s="33"/>
      <c r="F171" s="34"/>
      <c r="G171" s="27"/>
      <c r="H171" s="28"/>
      <c r="I171" s="29"/>
      <c r="J171" s="28"/>
      <c r="K171" s="30"/>
      <c r="L171" s="31"/>
    </row>
    <row r="172" customFormat="false" ht="27.75" hidden="false" customHeight="true" outlineLevel="0" collapsed="false">
      <c r="A172" s="32"/>
      <c r="B172" s="32"/>
      <c r="C172" s="32"/>
      <c r="D172" s="32"/>
      <c r="E172" s="33"/>
      <c r="F172" s="34"/>
      <c r="G172" s="27"/>
      <c r="H172" s="28"/>
      <c r="I172" s="29"/>
      <c r="J172" s="28"/>
      <c r="K172" s="30"/>
      <c r="L172" s="31"/>
    </row>
    <row r="173" customFormat="false" ht="27.75" hidden="false" customHeight="true" outlineLevel="0" collapsed="false">
      <c r="A173" s="32"/>
      <c r="B173" s="32"/>
      <c r="C173" s="32"/>
      <c r="D173" s="32"/>
      <c r="E173" s="33"/>
      <c r="F173" s="34"/>
      <c r="G173" s="27"/>
      <c r="H173" s="28"/>
      <c r="I173" s="29"/>
      <c r="J173" s="28"/>
      <c r="K173" s="30"/>
      <c r="L173" s="31"/>
    </row>
    <row r="174" customFormat="false" ht="27.75" hidden="false" customHeight="true" outlineLevel="0" collapsed="false">
      <c r="A174" s="32"/>
      <c r="B174" s="32"/>
      <c r="C174" s="32"/>
      <c r="D174" s="32"/>
      <c r="E174" s="33"/>
      <c r="F174" s="34"/>
      <c r="G174" s="27"/>
      <c r="H174" s="28"/>
      <c r="I174" s="29"/>
      <c r="J174" s="28"/>
      <c r="K174" s="30"/>
      <c r="L174" s="31"/>
    </row>
    <row r="175" customFormat="false" ht="27.75" hidden="false" customHeight="true" outlineLevel="0" collapsed="false">
      <c r="A175" s="32"/>
      <c r="B175" s="32"/>
      <c r="C175" s="32"/>
      <c r="D175" s="32"/>
      <c r="E175" s="33"/>
      <c r="F175" s="34"/>
      <c r="G175" s="27"/>
      <c r="H175" s="28"/>
      <c r="I175" s="29"/>
      <c r="J175" s="28"/>
      <c r="K175" s="30"/>
      <c r="L175" s="31"/>
    </row>
    <row r="176" customFormat="false" ht="27.75" hidden="false" customHeight="true" outlineLevel="0" collapsed="false">
      <c r="A176" s="32"/>
      <c r="B176" s="32"/>
      <c r="C176" s="32"/>
      <c r="D176" s="32"/>
      <c r="E176" s="33"/>
      <c r="F176" s="34"/>
      <c r="G176" s="27"/>
      <c r="H176" s="28"/>
      <c r="I176" s="29"/>
      <c r="J176" s="28"/>
      <c r="K176" s="30"/>
      <c r="L176" s="31"/>
    </row>
    <row r="177" customFormat="false" ht="27.75" hidden="false" customHeight="true" outlineLevel="0" collapsed="false">
      <c r="A177" s="32"/>
      <c r="B177" s="32"/>
      <c r="C177" s="32"/>
      <c r="D177" s="32"/>
      <c r="E177" s="33"/>
      <c r="F177" s="34"/>
      <c r="G177" s="27"/>
      <c r="H177" s="28"/>
      <c r="I177" s="29"/>
      <c r="J177" s="28"/>
      <c r="K177" s="30"/>
      <c r="L177" s="31"/>
    </row>
    <row r="178" customFormat="false" ht="27.75" hidden="false" customHeight="true" outlineLevel="0" collapsed="false">
      <c r="A178" s="32"/>
      <c r="B178" s="32"/>
      <c r="C178" s="32"/>
      <c r="D178" s="32"/>
      <c r="E178" s="33"/>
      <c r="F178" s="34"/>
      <c r="G178" s="27"/>
      <c r="H178" s="28"/>
      <c r="I178" s="29"/>
      <c r="J178" s="28"/>
      <c r="K178" s="30"/>
      <c r="L178" s="31"/>
    </row>
    <row r="179" customFormat="false" ht="27.75" hidden="false" customHeight="true" outlineLevel="0" collapsed="false">
      <c r="A179" s="32"/>
      <c r="B179" s="32"/>
      <c r="C179" s="32"/>
      <c r="D179" s="32"/>
      <c r="E179" s="33"/>
      <c r="F179" s="34"/>
      <c r="G179" s="27"/>
      <c r="H179" s="28"/>
      <c r="I179" s="29"/>
      <c r="J179" s="28"/>
      <c r="K179" s="30"/>
      <c r="L179" s="31"/>
    </row>
    <row r="180" customFormat="false" ht="27.75" hidden="false" customHeight="true" outlineLevel="0" collapsed="false">
      <c r="A180" s="32"/>
      <c r="B180" s="32"/>
      <c r="C180" s="32"/>
      <c r="D180" s="32"/>
      <c r="E180" s="33"/>
      <c r="F180" s="34"/>
      <c r="G180" s="27"/>
      <c r="H180" s="28"/>
      <c r="I180" s="29"/>
      <c r="J180" s="28"/>
      <c r="K180" s="30"/>
      <c r="L180" s="31"/>
    </row>
    <row r="181" customFormat="false" ht="27.75" hidden="false" customHeight="true" outlineLevel="0" collapsed="false">
      <c r="A181" s="32"/>
      <c r="B181" s="32"/>
      <c r="C181" s="32"/>
      <c r="D181" s="32"/>
      <c r="E181" s="33"/>
      <c r="F181" s="34"/>
      <c r="G181" s="27"/>
      <c r="H181" s="28"/>
      <c r="I181" s="29"/>
      <c r="J181" s="28"/>
      <c r="K181" s="30"/>
      <c r="L181" s="31"/>
    </row>
    <row r="182" customFormat="false" ht="27.75" hidden="false" customHeight="true" outlineLevel="0" collapsed="false">
      <c r="A182" s="32"/>
      <c r="B182" s="32"/>
      <c r="C182" s="32"/>
      <c r="D182" s="32"/>
      <c r="E182" s="33"/>
      <c r="F182" s="34"/>
      <c r="G182" s="27"/>
      <c r="H182" s="28"/>
      <c r="I182" s="29"/>
      <c r="J182" s="28"/>
      <c r="K182" s="30"/>
      <c r="L182" s="31"/>
    </row>
    <row r="183" customFormat="false" ht="27.75" hidden="false" customHeight="true" outlineLevel="0" collapsed="false">
      <c r="A183" s="32"/>
      <c r="B183" s="32"/>
      <c r="C183" s="32"/>
      <c r="D183" s="32"/>
      <c r="E183" s="33"/>
      <c r="F183" s="34"/>
      <c r="G183" s="27"/>
      <c r="H183" s="28"/>
      <c r="I183" s="29"/>
      <c r="J183" s="28"/>
      <c r="K183" s="30"/>
      <c r="L183" s="31"/>
    </row>
    <row r="184" customFormat="false" ht="27.75" hidden="false" customHeight="true" outlineLevel="0" collapsed="false">
      <c r="A184" s="32"/>
      <c r="B184" s="32"/>
      <c r="C184" s="32"/>
      <c r="D184" s="32"/>
      <c r="E184" s="33"/>
      <c r="F184" s="34"/>
      <c r="G184" s="27"/>
      <c r="H184" s="28"/>
      <c r="I184" s="29"/>
      <c r="J184" s="28"/>
      <c r="K184" s="30"/>
      <c r="L184" s="31"/>
    </row>
    <row r="185" customFormat="false" ht="27.75" hidden="false" customHeight="true" outlineLevel="0" collapsed="false">
      <c r="A185" s="32"/>
      <c r="B185" s="32"/>
      <c r="C185" s="32"/>
      <c r="D185" s="32"/>
      <c r="E185" s="33"/>
      <c r="F185" s="34"/>
      <c r="G185" s="27"/>
      <c r="H185" s="28"/>
      <c r="I185" s="29"/>
      <c r="J185" s="28"/>
      <c r="K185" s="30"/>
      <c r="L185" s="31"/>
    </row>
    <row r="186" customFormat="false" ht="27.75" hidden="false" customHeight="true" outlineLevel="0" collapsed="false">
      <c r="A186" s="32"/>
      <c r="B186" s="32"/>
      <c r="C186" s="32"/>
      <c r="D186" s="32"/>
      <c r="E186" s="33"/>
      <c r="F186" s="34"/>
      <c r="G186" s="27"/>
      <c r="H186" s="28"/>
      <c r="I186" s="29"/>
      <c r="J186" s="28"/>
      <c r="K186" s="30"/>
      <c r="L186" s="31"/>
    </row>
    <row r="187" customFormat="false" ht="27.75" hidden="false" customHeight="true" outlineLevel="0" collapsed="false">
      <c r="A187" s="32"/>
      <c r="B187" s="32"/>
      <c r="C187" s="32"/>
      <c r="D187" s="32"/>
      <c r="E187" s="33"/>
      <c r="F187" s="34"/>
      <c r="G187" s="27"/>
      <c r="H187" s="28"/>
      <c r="I187" s="29"/>
      <c r="J187" s="28"/>
      <c r="K187" s="30"/>
      <c r="L187" s="31"/>
    </row>
    <row r="188" customFormat="false" ht="27.75" hidden="false" customHeight="true" outlineLevel="0" collapsed="false">
      <c r="A188" s="32"/>
      <c r="B188" s="32"/>
      <c r="C188" s="32"/>
      <c r="D188" s="32"/>
      <c r="E188" s="33"/>
      <c r="F188" s="34"/>
      <c r="G188" s="27"/>
      <c r="H188" s="28"/>
      <c r="I188" s="29"/>
      <c r="J188" s="28"/>
      <c r="K188" s="30"/>
      <c r="L188" s="31"/>
    </row>
    <row r="189" customFormat="false" ht="27.75" hidden="false" customHeight="true" outlineLevel="0" collapsed="false">
      <c r="A189" s="32"/>
      <c r="B189" s="32"/>
      <c r="C189" s="32"/>
      <c r="D189" s="32"/>
      <c r="E189" s="33"/>
      <c r="F189" s="34"/>
      <c r="G189" s="27"/>
      <c r="H189" s="28"/>
      <c r="I189" s="29"/>
      <c r="J189" s="28"/>
      <c r="K189" s="30"/>
      <c r="L189" s="31"/>
    </row>
    <row r="190" customFormat="false" ht="27.75" hidden="false" customHeight="true" outlineLevel="0" collapsed="false">
      <c r="A190" s="32"/>
      <c r="B190" s="32"/>
      <c r="C190" s="32"/>
      <c r="D190" s="32"/>
      <c r="E190" s="33"/>
      <c r="F190" s="34"/>
      <c r="G190" s="27"/>
      <c r="H190" s="28"/>
      <c r="I190" s="29"/>
      <c r="J190" s="28"/>
      <c r="K190" s="30"/>
      <c r="L190" s="31"/>
    </row>
    <row r="191" customFormat="false" ht="27.75" hidden="false" customHeight="true" outlineLevel="0" collapsed="false">
      <c r="A191" s="32"/>
      <c r="B191" s="32"/>
      <c r="C191" s="32"/>
      <c r="D191" s="32"/>
      <c r="E191" s="33"/>
      <c r="F191" s="34"/>
      <c r="G191" s="27"/>
      <c r="H191" s="28"/>
      <c r="I191" s="29"/>
      <c r="J191" s="28"/>
      <c r="K191" s="30"/>
      <c r="L191" s="31"/>
    </row>
    <row r="192" customFormat="false" ht="27.75" hidden="false" customHeight="true" outlineLevel="0" collapsed="false">
      <c r="A192" s="32"/>
      <c r="B192" s="32"/>
      <c r="C192" s="32"/>
      <c r="D192" s="32"/>
      <c r="E192" s="33"/>
      <c r="F192" s="34"/>
      <c r="G192" s="27"/>
      <c r="H192" s="28"/>
      <c r="I192" s="29"/>
      <c r="J192" s="28"/>
      <c r="K192" s="30"/>
      <c r="L192" s="31"/>
    </row>
    <row r="193" customFormat="false" ht="27.75" hidden="false" customHeight="true" outlineLevel="0" collapsed="false">
      <c r="A193" s="32"/>
      <c r="B193" s="32"/>
      <c r="C193" s="32"/>
      <c r="D193" s="32"/>
      <c r="E193" s="33"/>
      <c r="F193" s="34"/>
      <c r="G193" s="27"/>
      <c r="H193" s="28"/>
      <c r="I193" s="29"/>
      <c r="J193" s="28"/>
      <c r="K193" s="30"/>
      <c r="L193" s="31"/>
    </row>
    <row r="194" customFormat="false" ht="27.75" hidden="false" customHeight="true" outlineLevel="0" collapsed="false">
      <c r="A194" s="32"/>
      <c r="B194" s="32"/>
      <c r="C194" s="32"/>
      <c r="D194" s="32"/>
      <c r="E194" s="33"/>
      <c r="F194" s="34"/>
      <c r="G194" s="27"/>
      <c r="H194" s="28"/>
      <c r="I194" s="29"/>
      <c r="J194" s="28"/>
      <c r="K194" s="30"/>
      <c r="L194" s="31"/>
    </row>
    <row r="195" customFormat="false" ht="27.75" hidden="false" customHeight="true" outlineLevel="0" collapsed="false">
      <c r="A195" s="32"/>
      <c r="B195" s="32"/>
      <c r="C195" s="32"/>
      <c r="D195" s="32"/>
      <c r="E195" s="33"/>
      <c r="F195" s="34"/>
      <c r="G195" s="27"/>
      <c r="H195" s="28"/>
      <c r="I195" s="29"/>
      <c r="J195" s="28"/>
      <c r="K195" s="30"/>
      <c r="L195" s="31"/>
    </row>
    <row r="196" customFormat="false" ht="27.75" hidden="false" customHeight="true" outlineLevel="0" collapsed="false">
      <c r="A196" s="32"/>
      <c r="B196" s="32"/>
      <c r="C196" s="32"/>
      <c r="D196" s="32"/>
      <c r="E196" s="33"/>
      <c r="F196" s="34"/>
      <c r="G196" s="27"/>
      <c r="H196" s="28"/>
      <c r="I196" s="29"/>
      <c r="J196" s="28"/>
      <c r="K196" s="30"/>
      <c r="L196" s="31"/>
    </row>
    <row r="197" customFormat="false" ht="27.75" hidden="false" customHeight="true" outlineLevel="0" collapsed="false">
      <c r="A197" s="32"/>
      <c r="B197" s="32"/>
      <c r="C197" s="32"/>
      <c r="D197" s="32"/>
      <c r="E197" s="33"/>
      <c r="F197" s="34"/>
      <c r="G197" s="27"/>
      <c r="H197" s="28"/>
      <c r="I197" s="29"/>
      <c r="J197" s="28"/>
      <c r="K197" s="30"/>
      <c r="L197" s="31"/>
    </row>
    <row r="198" customFormat="false" ht="27.75" hidden="false" customHeight="true" outlineLevel="0" collapsed="false">
      <c r="A198" s="32"/>
      <c r="B198" s="32"/>
      <c r="C198" s="32"/>
      <c r="D198" s="32"/>
      <c r="E198" s="33"/>
      <c r="F198" s="34"/>
      <c r="G198" s="27"/>
      <c r="H198" s="28"/>
      <c r="I198" s="29"/>
      <c r="J198" s="28"/>
      <c r="K198" s="30"/>
      <c r="L198" s="31"/>
    </row>
    <row r="199" customFormat="false" ht="27.75" hidden="false" customHeight="true" outlineLevel="0" collapsed="false">
      <c r="A199" s="32"/>
      <c r="B199" s="32"/>
      <c r="C199" s="32"/>
      <c r="D199" s="32"/>
      <c r="E199" s="33"/>
      <c r="F199" s="34"/>
      <c r="G199" s="27"/>
      <c r="H199" s="28"/>
      <c r="I199" s="29"/>
      <c r="J199" s="28"/>
      <c r="K199" s="30"/>
      <c r="L199" s="31"/>
    </row>
    <row r="200" customFormat="false" ht="27.75" hidden="false" customHeight="true" outlineLevel="0" collapsed="false">
      <c r="A200" s="32"/>
      <c r="B200" s="32"/>
      <c r="C200" s="32"/>
      <c r="D200" s="32"/>
      <c r="E200" s="33"/>
      <c r="F200" s="34"/>
      <c r="G200" s="27"/>
      <c r="H200" s="28"/>
      <c r="I200" s="29"/>
      <c r="J200" s="28"/>
      <c r="K200" s="30"/>
      <c r="L200" s="31"/>
    </row>
    <row r="201" customFormat="false" ht="27.75" hidden="false" customHeight="true" outlineLevel="0" collapsed="false">
      <c r="A201" s="32"/>
      <c r="B201" s="32"/>
      <c r="C201" s="32"/>
      <c r="D201" s="32"/>
      <c r="E201" s="33"/>
      <c r="F201" s="34"/>
      <c r="G201" s="27"/>
      <c r="H201" s="28"/>
      <c r="I201" s="29"/>
      <c r="J201" s="28"/>
      <c r="K201" s="30"/>
      <c r="L201" s="31"/>
    </row>
    <row r="202" customFormat="false" ht="27.75" hidden="false" customHeight="true" outlineLevel="0" collapsed="false">
      <c r="A202" s="32"/>
      <c r="B202" s="32"/>
      <c r="C202" s="32"/>
      <c r="D202" s="32"/>
      <c r="E202" s="33"/>
      <c r="F202" s="34"/>
      <c r="G202" s="27"/>
      <c r="H202" s="28"/>
      <c r="I202" s="29"/>
      <c r="J202" s="28"/>
      <c r="K202" s="30"/>
      <c r="L202" s="31"/>
    </row>
    <row r="203" customFormat="false" ht="27.75" hidden="false" customHeight="true" outlineLevel="0" collapsed="false">
      <c r="A203" s="32"/>
      <c r="B203" s="32"/>
      <c r="C203" s="32"/>
      <c r="D203" s="32"/>
      <c r="E203" s="33"/>
      <c r="F203" s="34"/>
      <c r="G203" s="27"/>
      <c r="H203" s="28"/>
      <c r="I203" s="29"/>
      <c r="J203" s="28"/>
      <c r="K203" s="30"/>
      <c r="L203" s="31"/>
    </row>
    <row r="204" customFormat="false" ht="27.75" hidden="false" customHeight="true" outlineLevel="0" collapsed="false">
      <c r="A204" s="32"/>
      <c r="B204" s="32"/>
      <c r="C204" s="32"/>
      <c r="D204" s="32"/>
      <c r="E204" s="33"/>
      <c r="F204" s="34"/>
      <c r="G204" s="27"/>
      <c r="H204" s="28"/>
      <c r="I204" s="29"/>
      <c r="J204" s="28"/>
      <c r="K204" s="30"/>
      <c r="L204" s="31"/>
    </row>
    <row r="205" customFormat="false" ht="27.75" hidden="false" customHeight="true" outlineLevel="0" collapsed="false">
      <c r="A205" s="32"/>
      <c r="B205" s="32"/>
      <c r="C205" s="32"/>
      <c r="D205" s="32"/>
      <c r="E205" s="33"/>
      <c r="F205" s="34"/>
      <c r="G205" s="27"/>
      <c r="H205" s="28"/>
      <c r="I205" s="29"/>
      <c r="J205" s="28"/>
      <c r="K205" s="30"/>
      <c r="L205" s="31"/>
    </row>
    <row r="206" customFormat="false" ht="27.75" hidden="false" customHeight="true" outlineLevel="0" collapsed="false">
      <c r="A206" s="32"/>
      <c r="B206" s="32"/>
      <c r="C206" s="32"/>
      <c r="D206" s="32"/>
      <c r="E206" s="33"/>
      <c r="F206" s="34"/>
      <c r="G206" s="27"/>
      <c r="H206" s="28"/>
      <c r="I206" s="29"/>
      <c r="J206" s="28"/>
      <c r="K206" s="30"/>
      <c r="L206" s="31"/>
    </row>
    <row r="207" customFormat="false" ht="27.75" hidden="false" customHeight="true" outlineLevel="0" collapsed="false">
      <c r="A207" s="32"/>
      <c r="B207" s="32"/>
      <c r="C207" s="32"/>
      <c r="D207" s="32"/>
      <c r="E207" s="33"/>
      <c r="F207" s="34"/>
      <c r="G207" s="27"/>
      <c r="H207" s="28"/>
      <c r="I207" s="29"/>
      <c r="J207" s="28"/>
      <c r="K207" s="30"/>
      <c r="L207" s="31"/>
    </row>
    <row r="208" customFormat="false" ht="27.75" hidden="false" customHeight="true" outlineLevel="0" collapsed="false">
      <c r="A208" s="32"/>
      <c r="B208" s="32"/>
      <c r="C208" s="32"/>
      <c r="D208" s="32"/>
      <c r="E208" s="33"/>
      <c r="F208" s="34"/>
      <c r="G208" s="27"/>
      <c r="H208" s="28"/>
      <c r="I208" s="29"/>
      <c r="J208" s="28"/>
      <c r="K208" s="30"/>
      <c r="L208" s="31"/>
    </row>
    <row r="209" customFormat="false" ht="27.75" hidden="false" customHeight="true" outlineLevel="0" collapsed="false">
      <c r="A209" s="32"/>
      <c r="B209" s="32"/>
      <c r="C209" s="32"/>
      <c r="D209" s="32"/>
      <c r="E209" s="33"/>
      <c r="F209" s="34"/>
      <c r="G209" s="27"/>
      <c r="H209" s="28"/>
      <c r="I209" s="29"/>
      <c r="J209" s="28"/>
      <c r="K209" s="30"/>
      <c r="L209" s="31"/>
    </row>
    <row r="210" customFormat="false" ht="27.75" hidden="false" customHeight="true" outlineLevel="0" collapsed="false">
      <c r="A210" s="32"/>
      <c r="B210" s="32"/>
      <c r="C210" s="32"/>
      <c r="D210" s="32"/>
      <c r="E210" s="33"/>
      <c r="F210" s="34"/>
      <c r="G210" s="27"/>
      <c r="H210" s="28"/>
      <c r="I210" s="29"/>
      <c r="J210" s="28"/>
      <c r="K210" s="30"/>
      <c r="L210" s="31"/>
    </row>
    <row r="211" customFormat="false" ht="27.75" hidden="false" customHeight="true" outlineLevel="0" collapsed="false">
      <c r="A211" s="32"/>
      <c r="B211" s="32"/>
      <c r="C211" s="32"/>
      <c r="D211" s="32"/>
      <c r="E211" s="33"/>
      <c r="F211" s="34"/>
      <c r="G211" s="27"/>
      <c r="H211" s="28"/>
      <c r="I211" s="29"/>
      <c r="J211" s="28"/>
      <c r="K211" s="30"/>
      <c r="L211" s="31"/>
    </row>
    <row r="212" customFormat="false" ht="27.75" hidden="false" customHeight="true" outlineLevel="0" collapsed="false">
      <c r="A212" s="32"/>
      <c r="B212" s="32"/>
      <c r="C212" s="32"/>
      <c r="D212" s="32"/>
      <c r="E212" s="33"/>
      <c r="F212" s="34"/>
      <c r="G212" s="27"/>
      <c r="H212" s="28"/>
      <c r="I212" s="29"/>
      <c r="J212" s="28"/>
      <c r="K212" s="30"/>
      <c r="L212" s="31"/>
    </row>
    <row r="213" customFormat="false" ht="27.75" hidden="false" customHeight="true" outlineLevel="0" collapsed="false">
      <c r="A213" s="32"/>
      <c r="B213" s="32"/>
      <c r="C213" s="32"/>
      <c r="D213" s="32"/>
      <c r="E213" s="33"/>
      <c r="F213" s="34"/>
      <c r="G213" s="27"/>
      <c r="H213" s="28"/>
      <c r="I213" s="29"/>
      <c r="J213" s="28"/>
      <c r="K213" s="30"/>
      <c r="L213" s="31"/>
    </row>
    <row r="214" customFormat="false" ht="27.75" hidden="false" customHeight="true" outlineLevel="0" collapsed="false">
      <c r="A214" s="32"/>
      <c r="B214" s="32"/>
      <c r="C214" s="32"/>
      <c r="D214" s="32"/>
      <c r="E214" s="33"/>
      <c r="F214" s="34"/>
      <c r="G214" s="27"/>
      <c r="H214" s="28"/>
      <c r="I214" s="29"/>
      <c r="J214" s="28"/>
      <c r="K214" s="30"/>
      <c r="L214" s="31"/>
    </row>
    <row r="215" customFormat="false" ht="27.75" hidden="false" customHeight="true" outlineLevel="0" collapsed="false">
      <c r="A215" s="32"/>
      <c r="B215" s="32"/>
      <c r="C215" s="32"/>
      <c r="D215" s="32"/>
      <c r="E215" s="33"/>
      <c r="F215" s="34"/>
      <c r="G215" s="27"/>
      <c r="H215" s="28"/>
      <c r="I215" s="29"/>
      <c r="J215" s="28"/>
      <c r="K215" s="30"/>
      <c r="L215" s="31"/>
    </row>
    <row r="216" customFormat="false" ht="27.75" hidden="false" customHeight="true" outlineLevel="0" collapsed="false">
      <c r="A216" s="32"/>
      <c r="B216" s="32"/>
      <c r="C216" s="32"/>
      <c r="D216" s="32"/>
      <c r="E216" s="33"/>
      <c r="F216" s="34"/>
      <c r="G216" s="27"/>
      <c r="H216" s="28"/>
      <c r="I216" s="29"/>
      <c r="J216" s="28"/>
      <c r="K216" s="30"/>
      <c r="L216" s="31"/>
    </row>
    <row r="217" customFormat="false" ht="27.75" hidden="false" customHeight="true" outlineLevel="0" collapsed="false">
      <c r="A217" s="32"/>
      <c r="B217" s="32"/>
      <c r="C217" s="32"/>
      <c r="D217" s="32"/>
      <c r="E217" s="33"/>
      <c r="F217" s="34"/>
      <c r="G217" s="27"/>
      <c r="H217" s="28"/>
      <c r="I217" s="29"/>
      <c r="J217" s="28"/>
      <c r="K217" s="30"/>
      <c r="L217" s="31"/>
    </row>
    <row r="218" customFormat="false" ht="27.75" hidden="false" customHeight="true" outlineLevel="0" collapsed="false">
      <c r="A218" s="32"/>
      <c r="B218" s="32"/>
      <c r="C218" s="32"/>
      <c r="D218" s="32"/>
      <c r="E218" s="33"/>
      <c r="F218" s="34"/>
      <c r="G218" s="27"/>
      <c r="H218" s="28"/>
      <c r="I218" s="29"/>
      <c r="J218" s="28"/>
      <c r="K218" s="30"/>
      <c r="L218" s="31"/>
    </row>
    <row r="219" customFormat="false" ht="27.75" hidden="false" customHeight="true" outlineLevel="0" collapsed="false">
      <c r="A219" s="32"/>
      <c r="B219" s="32"/>
      <c r="C219" s="32"/>
      <c r="D219" s="32"/>
      <c r="E219" s="33"/>
      <c r="F219" s="34"/>
      <c r="G219" s="27"/>
      <c r="H219" s="28"/>
      <c r="I219" s="29"/>
      <c r="J219" s="28"/>
      <c r="K219" s="30"/>
      <c r="L219" s="31"/>
    </row>
    <row r="220" customFormat="false" ht="27.75" hidden="false" customHeight="true" outlineLevel="0" collapsed="false">
      <c r="A220" s="32"/>
      <c r="B220" s="32"/>
      <c r="C220" s="32"/>
      <c r="D220" s="32"/>
      <c r="E220" s="33"/>
      <c r="F220" s="34"/>
      <c r="G220" s="27"/>
      <c r="H220" s="28"/>
      <c r="I220" s="29"/>
      <c r="J220" s="28"/>
      <c r="K220" s="30"/>
      <c r="L220" s="31"/>
    </row>
    <row r="221" customFormat="false" ht="27.75" hidden="false" customHeight="true" outlineLevel="0" collapsed="false">
      <c r="A221" s="32"/>
      <c r="B221" s="32"/>
      <c r="C221" s="32"/>
      <c r="D221" s="32"/>
      <c r="E221" s="33"/>
      <c r="F221" s="34"/>
      <c r="G221" s="27"/>
      <c r="H221" s="28"/>
      <c r="I221" s="29"/>
      <c r="J221" s="28"/>
      <c r="K221" s="30"/>
      <c r="L221" s="31"/>
    </row>
    <row r="222" customFormat="false" ht="27.75" hidden="false" customHeight="true" outlineLevel="0" collapsed="false">
      <c r="A222" s="32"/>
      <c r="B222" s="32"/>
      <c r="C222" s="32"/>
      <c r="D222" s="32"/>
      <c r="E222" s="33"/>
      <c r="F222" s="34"/>
      <c r="G222" s="27"/>
      <c r="H222" s="28"/>
      <c r="I222" s="29"/>
      <c r="J222" s="28"/>
      <c r="K222" s="30"/>
      <c r="L222" s="31"/>
    </row>
    <row r="223" customFormat="false" ht="27.75" hidden="false" customHeight="true" outlineLevel="0" collapsed="false">
      <c r="A223" s="32"/>
      <c r="B223" s="32"/>
      <c r="C223" s="32"/>
      <c r="D223" s="32"/>
      <c r="E223" s="33"/>
      <c r="F223" s="34"/>
      <c r="G223" s="27"/>
      <c r="H223" s="28"/>
      <c r="I223" s="29"/>
      <c r="J223" s="28"/>
      <c r="K223" s="30"/>
      <c r="L223" s="31"/>
    </row>
    <row r="224" customFormat="false" ht="27.75" hidden="false" customHeight="true" outlineLevel="0" collapsed="false">
      <c r="A224" s="32"/>
      <c r="B224" s="32"/>
      <c r="C224" s="32"/>
      <c r="D224" s="32"/>
      <c r="E224" s="33"/>
      <c r="F224" s="34"/>
      <c r="G224" s="27"/>
      <c r="H224" s="28"/>
      <c r="I224" s="29"/>
      <c r="J224" s="28"/>
      <c r="K224" s="30"/>
      <c r="L224" s="31"/>
    </row>
    <row r="225" customFormat="false" ht="27.75" hidden="false" customHeight="true" outlineLevel="0" collapsed="false">
      <c r="A225" s="32"/>
      <c r="B225" s="32"/>
      <c r="C225" s="32"/>
      <c r="D225" s="32"/>
      <c r="E225" s="33"/>
      <c r="F225" s="34"/>
      <c r="G225" s="27"/>
      <c r="H225" s="28"/>
      <c r="I225" s="29"/>
      <c r="J225" s="28"/>
      <c r="K225" s="30"/>
      <c r="L225" s="31"/>
    </row>
    <row r="226" customFormat="false" ht="27.75" hidden="false" customHeight="true" outlineLevel="0" collapsed="false">
      <c r="A226" s="32"/>
      <c r="B226" s="32"/>
      <c r="C226" s="32"/>
      <c r="D226" s="32"/>
      <c r="E226" s="33"/>
      <c r="F226" s="34"/>
      <c r="G226" s="27"/>
      <c r="H226" s="28"/>
      <c r="I226" s="29"/>
      <c r="J226" s="28"/>
      <c r="K226" s="30"/>
      <c r="L226" s="31"/>
    </row>
    <row r="227" customFormat="false" ht="27.75" hidden="false" customHeight="true" outlineLevel="0" collapsed="false">
      <c r="A227" s="32"/>
      <c r="B227" s="32"/>
      <c r="C227" s="32"/>
      <c r="D227" s="32"/>
      <c r="E227" s="33"/>
      <c r="F227" s="34"/>
      <c r="G227" s="27"/>
      <c r="H227" s="28"/>
      <c r="I227" s="29"/>
      <c r="J227" s="28"/>
      <c r="K227" s="30"/>
      <c r="L227" s="31"/>
    </row>
    <row r="228" customFormat="false" ht="27.75" hidden="false" customHeight="true" outlineLevel="0" collapsed="false">
      <c r="A228" s="32"/>
      <c r="B228" s="32"/>
      <c r="C228" s="32"/>
      <c r="D228" s="32"/>
      <c r="E228" s="33"/>
      <c r="F228" s="34"/>
      <c r="G228" s="27"/>
      <c r="H228" s="28"/>
      <c r="I228" s="29"/>
      <c r="J228" s="28"/>
      <c r="K228" s="30"/>
      <c r="L228" s="31"/>
    </row>
    <row r="229" customFormat="false" ht="27.75" hidden="false" customHeight="true" outlineLevel="0" collapsed="false">
      <c r="A229" s="32"/>
      <c r="B229" s="32"/>
      <c r="C229" s="32"/>
      <c r="D229" s="32"/>
      <c r="E229" s="33"/>
      <c r="F229" s="34"/>
      <c r="G229" s="27"/>
      <c r="H229" s="28"/>
      <c r="I229" s="29"/>
      <c r="J229" s="28"/>
      <c r="K229" s="30"/>
      <c r="L229" s="31"/>
    </row>
    <row r="230" customFormat="false" ht="27.75" hidden="false" customHeight="true" outlineLevel="0" collapsed="false">
      <c r="A230" s="32"/>
      <c r="B230" s="32"/>
      <c r="C230" s="32"/>
      <c r="D230" s="32"/>
      <c r="E230" s="33"/>
      <c r="F230" s="34"/>
      <c r="G230" s="27"/>
      <c r="H230" s="28"/>
      <c r="I230" s="29"/>
      <c r="J230" s="28"/>
      <c r="K230" s="30"/>
      <c r="L230" s="31"/>
    </row>
    <row r="231" customFormat="false" ht="27.75" hidden="false" customHeight="true" outlineLevel="0" collapsed="false">
      <c r="A231" s="32"/>
      <c r="B231" s="32"/>
      <c r="C231" s="32"/>
      <c r="D231" s="32"/>
      <c r="E231" s="33"/>
      <c r="F231" s="34"/>
      <c r="G231" s="27"/>
      <c r="H231" s="28"/>
      <c r="I231" s="29"/>
      <c r="J231" s="28"/>
      <c r="K231" s="30"/>
      <c r="L231" s="31"/>
    </row>
    <row r="232" customFormat="false" ht="27.75" hidden="false" customHeight="true" outlineLevel="0" collapsed="false">
      <c r="A232" s="32"/>
      <c r="B232" s="32"/>
      <c r="C232" s="32"/>
      <c r="D232" s="32"/>
      <c r="E232" s="33"/>
      <c r="F232" s="34"/>
      <c r="G232" s="27"/>
      <c r="H232" s="28"/>
      <c r="I232" s="29"/>
      <c r="J232" s="28"/>
      <c r="K232" s="30"/>
      <c r="L232" s="31"/>
    </row>
    <row r="233" customFormat="false" ht="27.75" hidden="false" customHeight="true" outlineLevel="0" collapsed="false">
      <c r="A233" s="32"/>
      <c r="B233" s="32"/>
      <c r="C233" s="32"/>
      <c r="D233" s="32"/>
      <c r="E233" s="33"/>
      <c r="F233" s="34"/>
      <c r="G233" s="27"/>
      <c r="H233" s="28"/>
      <c r="I233" s="29"/>
      <c r="J233" s="28"/>
      <c r="K233" s="30"/>
      <c r="L233" s="31"/>
    </row>
    <row r="234" customFormat="false" ht="27.75" hidden="false" customHeight="true" outlineLevel="0" collapsed="false">
      <c r="A234" s="32"/>
      <c r="B234" s="32"/>
      <c r="C234" s="32"/>
      <c r="D234" s="32"/>
      <c r="E234" s="33"/>
      <c r="F234" s="34"/>
      <c r="G234" s="27"/>
      <c r="H234" s="28"/>
      <c r="I234" s="29"/>
      <c r="J234" s="28"/>
      <c r="K234" s="30"/>
      <c r="L234" s="31"/>
    </row>
    <row r="235" customFormat="false" ht="27.75" hidden="false" customHeight="true" outlineLevel="0" collapsed="false">
      <c r="A235" s="32"/>
      <c r="B235" s="32"/>
      <c r="C235" s="32"/>
      <c r="D235" s="32"/>
      <c r="E235" s="33"/>
      <c r="F235" s="34"/>
      <c r="G235" s="27"/>
      <c r="H235" s="28"/>
      <c r="I235" s="29"/>
      <c r="J235" s="28"/>
      <c r="K235" s="30"/>
      <c r="L235" s="31"/>
    </row>
    <row r="236" customFormat="false" ht="27.75" hidden="false" customHeight="true" outlineLevel="0" collapsed="false">
      <c r="A236" s="32"/>
      <c r="B236" s="32"/>
      <c r="C236" s="32"/>
      <c r="D236" s="32"/>
      <c r="E236" s="33"/>
      <c r="F236" s="34"/>
      <c r="G236" s="27"/>
      <c r="H236" s="28"/>
      <c r="I236" s="29"/>
      <c r="J236" s="28"/>
      <c r="K236" s="30"/>
      <c r="L236" s="31"/>
    </row>
    <row r="237" customFormat="false" ht="27.75" hidden="false" customHeight="true" outlineLevel="0" collapsed="false">
      <c r="A237" s="32"/>
      <c r="B237" s="32"/>
      <c r="C237" s="32"/>
      <c r="D237" s="32"/>
      <c r="E237" s="33"/>
      <c r="F237" s="34"/>
      <c r="G237" s="27"/>
      <c r="H237" s="28"/>
      <c r="I237" s="29"/>
      <c r="J237" s="28"/>
      <c r="K237" s="30"/>
      <c r="L237" s="31"/>
    </row>
    <row r="238" customFormat="false" ht="27.75" hidden="false" customHeight="true" outlineLevel="0" collapsed="false">
      <c r="A238" s="32"/>
      <c r="B238" s="32"/>
      <c r="C238" s="32"/>
      <c r="D238" s="32"/>
      <c r="E238" s="33"/>
      <c r="F238" s="34"/>
      <c r="G238" s="27"/>
      <c r="H238" s="28"/>
      <c r="I238" s="29"/>
      <c r="J238" s="28"/>
      <c r="K238" s="30"/>
      <c r="L238" s="31"/>
    </row>
    <row r="239" customFormat="false" ht="27.75" hidden="false" customHeight="true" outlineLevel="0" collapsed="false">
      <c r="A239" s="32"/>
      <c r="B239" s="32"/>
      <c r="C239" s="32"/>
      <c r="D239" s="32"/>
      <c r="E239" s="33"/>
      <c r="F239" s="34"/>
      <c r="G239" s="27"/>
      <c r="H239" s="28"/>
      <c r="I239" s="29"/>
      <c r="J239" s="28"/>
      <c r="K239" s="30"/>
      <c r="L239" s="31"/>
    </row>
    <row r="240" customFormat="false" ht="27.75" hidden="false" customHeight="true" outlineLevel="0" collapsed="false">
      <c r="A240" s="32"/>
      <c r="B240" s="32"/>
      <c r="C240" s="32"/>
      <c r="D240" s="32"/>
      <c r="E240" s="33"/>
      <c r="F240" s="34"/>
      <c r="G240" s="27"/>
      <c r="H240" s="28"/>
      <c r="I240" s="29"/>
      <c r="J240" s="28"/>
      <c r="K240" s="30"/>
      <c r="L240" s="31"/>
    </row>
    <row r="241" customFormat="false" ht="27.75" hidden="false" customHeight="true" outlineLevel="0" collapsed="false">
      <c r="A241" s="32"/>
      <c r="B241" s="32"/>
      <c r="C241" s="32"/>
      <c r="D241" s="32"/>
      <c r="E241" s="33"/>
      <c r="F241" s="34"/>
      <c r="G241" s="27"/>
      <c r="H241" s="28"/>
      <c r="I241" s="29"/>
      <c r="J241" s="28"/>
      <c r="K241" s="30"/>
      <c r="L241" s="31"/>
    </row>
    <row r="242" customFormat="false" ht="27.75" hidden="false" customHeight="true" outlineLevel="0" collapsed="false">
      <c r="A242" s="32"/>
      <c r="B242" s="32"/>
      <c r="C242" s="32"/>
      <c r="D242" s="32"/>
      <c r="E242" s="33"/>
      <c r="F242" s="34"/>
      <c r="G242" s="27"/>
      <c r="H242" s="28"/>
      <c r="I242" s="29"/>
      <c r="J242" s="28"/>
      <c r="K242" s="30"/>
      <c r="L242" s="31"/>
    </row>
    <row r="243" customFormat="false" ht="27.75" hidden="false" customHeight="true" outlineLevel="0" collapsed="false">
      <c r="A243" s="32"/>
      <c r="B243" s="32"/>
      <c r="C243" s="32"/>
      <c r="D243" s="32"/>
      <c r="E243" s="33"/>
      <c r="F243" s="34"/>
      <c r="G243" s="27"/>
      <c r="H243" s="28"/>
      <c r="I243" s="29"/>
      <c r="J243" s="28"/>
      <c r="K243" s="30"/>
      <c r="L243" s="31"/>
    </row>
    <row r="244" customFormat="false" ht="27.75" hidden="false" customHeight="true" outlineLevel="0" collapsed="false">
      <c r="A244" s="32"/>
      <c r="B244" s="32"/>
      <c r="C244" s="32"/>
      <c r="D244" s="32"/>
      <c r="E244" s="33"/>
      <c r="F244" s="34"/>
      <c r="G244" s="27"/>
      <c r="H244" s="28"/>
      <c r="I244" s="29"/>
      <c r="J244" s="28"/>
      <c r="K244" s="30"/>
      <c r="L244" s="31"/>
    </row>
    <row r="245" customFormat="false" ht="27.75" hidden="false" customHeight="true" outlineLevel="0" collapsed="false">
      <c r="A245" s="32"/>
      <c r="B245" s="32"/>
      <c r="C245" s="32"/>
      <c r="D245" s="32"/>
      <c r="E245" s="33"/>
      <c r="F245" s="34"/>
      <c r="G245" s="27"/>
      <c r="H245" s="28"/>
      <c r="I245" s="29"/>
      <c r="J245" s="28"/>
      <c r="K245" s="30"/>
      <c r="L245" s="31"/>
    </row>
    <row r="246" customFormat="false" ht="27.75" hidden="false" customHeight="true" outlineLevel="0" collapsed="false">
      <c r="A246" s="32"/>
      <c r="B246" s="32"/>
      <c r="C246" s="32"/>
      <c r="D246" s="32"/>
      <c r="E246" s="33"/>
      <c r="F246" s="34"/>
      <c r="G246" s="27"/>
      <c r="H246" s="28"/>
      <c r="I246" s="29"/>
      <c r="J246" s="28"/>
      <c r="K246" s="30"/>
      <c r="L246" s="31"/>
    </row>
    <row r="247" customFormat="false" ht="27.75" hidden="false" customHeight="true" outlineLevel="0" collapsed="false">
      <c r="A247" s="32"/>
      <c r="B247" s="32"/>
      <c r="C247" s="32"/>
      <c r="D247" s="32"/>
      <c r="E247" s="33"/>
      <c r="F247" s="34"/>
      <c r="G247" s="27"/>
      <c r="H247" s="28"/>
      <c r="I247" s="29"/>
      <c r="J247" s="28"/>
      <c r="K247" s="30"/>
      <c r="L247" s="31"/>
    </row>
    <row r="248" customFormat="false" ht="27.75" hidden="false" customHeight="true" outlineLevel="0" collapsed="false">
      <c r="A248" s="32"/>
      <c r="B248" s="32"/>
      <c r="C248" s="32"/>
      <c r="D248" s="32"/>
      <c r="E248" s="33"/>
      <c r="F248" s="34"/>
      <c r="G248" s="27"/>
      <c r="H248" s="28"/>
      <c r="I248" s="29"/>
      <c r="J248" s="28"/>
      <c r="K248" s="30"/>
      <c r="L248" s="31"/>
    </row>
    <row r="249" customFormat="false" ht="27.75" hidden="false" customHeight="true" outlineLevel="0" collapsed="false">
      <c r="A249" s="32"/>
      <c r="B249" s="32"/>
      <c r="C249" s="32"/>
      <c r="D249" s="32"/>
      <c r="E249" s="33"/>
      <c r="F249" s="34"/>
      <c r="G249" s="27"/>
      <c r="H249" s="28"/>
      <c r="I249" s="29"/>
      <c r="J249" s="28"/>
      <c r="K249" s="30"/>
      <c r="L249" s="31"/>
    </row>
    <row r="250" customFormat="false" ht="27.75" hidden="false" customHeight="true" outlineLevel="0" collapsed="false">
      <c r="A250" s="32"/>
      <c r="B250" s="32"/>
      <c r="C250" s="32"/>
      <c r="D250" s="32"/>
      <c r="E250" s="33"/>
      <c r="F250" s="34"/>
      <c r="G250" s="27"/>
      <c r="H250" s="28"/>
      <c r="I250" s="29"/>
      <c r="J250" s="28"/>
      <c r="K250" s="30"/>
      <c r="L250" s="31"/>
    </row>
    <row r="251" customFormat="false" ht="27.75" hidden="false" customHeight="true" outlineLevel="0" collapsed="false">
      <c r="A251" s="32"/>
      <c r="B251" s="32"/>
      <c r="C251" s="32"/>
      <c r="D251" s="32"/>
      <c r="E251" s="33"/>
      <c r="F251" s="34"/>
      <c r="G251" s="27"/>
      <c r="H251" s="28"/>
      <c r="I251" s="29"/>
      <c r="J251" s="28"/>
      <c r="K251" s="30"/>
      <c r="L251" s="31"/>
    </row>
    <row r="252" customFormat="false" ht="27.75" hidden="false" customHeight="true" outlineLevel="0" collapsed="false">
      <c r="A252" s="32"/>
      <c r="B252" s="32"/>
      <c r="C252" s="32"/>
      <c r="D252" s="32"/>
      <c r="E252" s="33"/>
      <c r="F252" s="34"/>
      <c r="G252" s="27"/>
      <c r="H252" s="28"/>
      <c r="I252" s="29"/>
      <c r="J252" s="28"/>
      <c r="K252" s="30"/>
      <c r="L252" s="31"/>
    </row>
    <row r="253" customFormat="false" ht="27.75" hidden="false" customHeight="true" outlineLevel="0" collapsed="false">
      <c r="A253" s="32"/>
      <c r="B253" s="32"/>
      <c r="C253" s="32"/>
      <c r="D253" s="32"/>
      <c r="E253" s="33"/>
      <c r="F253" s="34"/>
      <c r="G253" s="27"/>
      <c r="H253" s="28"/>
      <c r="I253" s="29"/>
      <c r="J253" s="28"/>
      <c r="K253" s="30"/>
      <c r="L253" s="31"/>
    </row>
    <row r="254" customFormat="false" ht="27.75" hidden="false" customHeight="true" outlineLevel="0" collapsed="false">
      <c r="A254" s="32"/>
      <c r="B254" s="32"/>
      <c r="C254" s="32"/>
      <c r="D254" s="32"/>
      <c r="E254" s="33"/>
      <c r="F254" s="34"/>
      <c r="G254" s="27"/>
      <c r="H254" s="28"/>
      <c r="I254" s="29"/>
      <c r="J254" s="28"/>
      <c r="K254" s="30"/>
      <c r="L254" s="31"/>
    </row>
    <row r="255" customFormat="false" ht="27.75" hidden="false" customHeight="true" outlineLevel="0" collapsed="false">
      <c r="A255" s="32"/>
      <c r="B255" s="32"/>
      <c r="C255" s="32"/>
      <c r="D255" s="32"/>
      <c r="E255" s="33"/>
      <c r="F255" s="34"/>
      <c r="G255" s="27"/>
      <c r="H255" s="28"/>
      <c r="I255" s="29"/>
      <c r="J255" s="28"/>
      <c r="K255" s="30"/>
      <c r="L255" s="31"/>
    </row>
    <row r="256" customFormat="false" ht="27.75" hidden="false" customHeight="true" outlineLevel="0" collapsed="false">
      <c r="A256" s="32"/>
      <c r="B256" s="32"/>
      <c r="C256" s="32"/>
      <c r="D256" s="32"/>
      <c r="E256" s="33"/>
      <c r="F256" s="34"/>
      <c r="G256" s="27"/>
      <c r="H256" s="28"/>
      <c r="I256" s="29"/>
      <c r="J256" s="28"/>
      <c r="K256" s="30"/>
      <c r="L256" s="31"/>
    </row>
    <row r="257" customFormat="false" ht="27.75" hidden="false" customHeight="true" outlineLevel="0" collapsed="false">
      <c r="A257" s="32"/>
      <c r="B257" s="32"/>
      <c r="C257" s="32"/>
      <c r="D257" s="32"/>
      <c r="E257" s="33"/>
      <c r="F257" s="34"/>
      <c r="G257" s="27"/>
      <c r="H257" s="28"/>
      <c r="I257" s="29"/>
      <c r="J257" s="28"/>
      <c r="K257" s="30"/>
      <c r="L257" s="31"/>
    </row>
    <row r="258" customFormat="false" ht="27.75" hidden="false" customHeight="true" outlineLevel="0" collapsed="false">
      <c r="A258" s="32"/>
      <c r="B258" s="32"/>
      <c r="C258" s="32"/>
      <c r="D258" s="32"/>
      <c r="E258" s="33"/>
      <c r="F258" s="34"/>
      <c r="G258" s="27"/>
      <c r="H258" s="28"/>
      <c r="I258" s="29"/>
      <c r="J258" s="28"/>
      <c r="K258" s="30"/>
      <c r="L258" s="31"/>
    </row>
    <row r="259" customFormat="false" ht="27.75" hidden="false" customHeight="true" outlineLevel="0" collapsed="false">
      <c r="A259" s="32"/>
      <c r="B259" s="32"/>
      <c r="C259" s="32"/>
      <c r="D259" s="32"/>
      <c r="E259" s="33"/>
      <c r="F259" s="34"/>
      <c r="G259" s="27"/>
      <c r="H259" s="28"/>
      <c r="I259" s="29"/>
      <c r="J259" s="28"/>
      <c r="K259" s="30"/>
      <c r="L259" s="31"/>
    </row>
    <row r="260" customFormat="false" ht="27.75" hidden="false" customHeight="true" outlineLevel="0" collapsed="false">
      <c r="A260" s="32"/>
      <c r="B260" s="32"/>
      <c r="C260" s="32"/>
      <c r="D260" s="32"/>
      <c r="E260" s="33"/>
      <c r="F260" s="34"/>
      <c r="G260" s="27"/>
      <c r="H260" s="28"/>
      <c r="I260" s="29"/>
      <c r="J260" s="28"/>
      <c r="K260" s="30"/>
      <c r="L260" s="31"/>
    </row>
    <row r="261" customFormat="false" ht="27.75" hidden="false" customHeight="true" outlineLevel="0" collapsed="false">
      <c r="A261" s="32"/>
      <c r="B261" s="32"/>
      <c r="C261" s="32"/>
      <c r="D261" s="32"/>
      <c r="E261" s="33"/>
      <c r="F261" s="34"/>
      <c r="G261" s="27"/>
      <c r="H261" s="28"/>
      <c r="I261" s="29"/>
      <c r="J261" s="28"/>
      <c r="K261" s="30"/>
      <c r="L261" s="31"/>
    </row>
    <row r="262" customFormat="false" ht="27.75" hidden="false" customHeight="true" outlineLevel="0" collapsed="false">
      <c r="A262" s="32"/>
      <c r="B262" s="32"/>
      <c r="C262" s="32"/>
      <c r="D262" s="32"/>
      <c r="E262" s="33"/>
      <c r="F262" s="34"/>
      <c r="G262" s="27"/>
      <c r="H262" s="28"/>
      <c r="I262" s="29"/>
      <c r="J262" s="28"/>
      <c r="K262" s="30"/>
      <c r="L262" s="31"/>
    </row>
    <row r="263" customFormat="false" ht="27.75" hidden="false" customHeight="true" outlineLevel="0" collapsed="false">
      <c r="A263" s="32"/>
      <c r="B263" s="32"/>
      <c r="C263" s="32"/>
      <c r="D263" s="32"/>
      <c r="E263" s="33"/>
      <c r="F263" s="34"/>
      <c r="G263" s="27"/>
      <c r="H263" s="28"/>
      <c r="I263" s="29"/>
      <c r="J263" s="28"/>
      <c r="K263" s="30"/>
      <c r="L263" s="31"/>
    </row>
    <row r="264" customFormat="false" ht="27.75" hidden="false" customHeight="true" outlineLevel="0" collapsed="false">
      <c r="A264" s="32"/>
      <c r="B264" s="32"/>
      <c r="C264" s="32"/>
      <c r="D264" s="32"/>
      <c r="E264" s="33"/>
      <c r="F264" s="34"/>
      <c r="G264" s="27"/>
      <c r="H264" s="28"/>
      <c r="I264" s="29"/>
      <c r="J264" s="28"/>
      <c r="K264" s="30"/>
      <c r="L264" s="31"/>
    </row>
    <row r="265" customFormat="false" ht="27.75" hidden="false" customHeight="true" outlineLevel="0" collapsed="false">
      <c r="A265" s="32"/>
      <c r="B265" s="32"/>
      <c r="C265" s="32"/>
      <c r="D265" s="32"/>
      <c r="E265" s="33"/>
      <c r="F265" s="34"/>
      <c r="G265" s="27"/>
      <c r="H265" s="28"/>
      <c r="I265" s="29"/>
      <c r="J265" s="28"/>
      <c r="K265" s="30"/>
      <c r="L265" s="31"/>
    </row>
    <row r="266" customFormat="false" ht="27.75" hidden="false" customHeight="true" outlineLevel="0" collapsed="false">
      <c r="A266" s="32"/>
      <c r="B266" s="32"/>
      <c r="C266" s="32"/>
      <c r="D266" s="32"/>
      <c r="E266" s="33"/>
      <c r="F266" s="34"/>
      <c r="G266" s="27"/>
      <c r="H266" s="28"/>
      <c r="I266" s="29"/>
      <c r="J266" s="28"/>
      <c r="K266" s="30"/>
      <c r="L266" s="31"/>
    </row>
    <row r="267" customFormat="false" ht="27.75" hidden="false" customHeight="true" outlineLevel="0" collapsed="false">
      <c r="A267" s="32"/>
      <c r="B267" s="32"/>
      <c r="C267" s="32"/>
      <c r="D267" s="32"/>
      <c r="E267" s="33"/>
      <c r="F267" s="34"/>
      <c r="G267" s="27"/>
      <c r="H267" s="28"/>
      <c r="I267" s="29"/>
      <c r="J267" s="28"/>
      <c r="K267" s="30"/>
      <c r="L267" s="31"/>
    </row>
    <row r="268" customFormat="false" ht="27.75" hidden="false" customHeight="true" outlineLevel="0" collapsed="false">
      <c r="A268" s="32"/>
      <c r="B268" s="32"/>
      <c r="C268" s="32"/>
      <c r="D268" s="32"/>
      <c r="E268" s="33"/>
      <c r="F268" s="34"/>
      <c r="G268" s="27"/>
      <c r="H268" s="28"/>
      <c r="I268" s="29"/>
      <c r="J268" s="28"/>
      <c r="K268" s="30"/>
      <c r="L268" s="31"/>
    </row>
    <row r="269" customFormat="false" ht="27.75" hidden="false" customHeight="true" outlineLevel="0" collapsed="false">
      <c r="A269" s="32"/>
      <c r="B269" s="32"/>
      <c r="C269" s="32"/>
      <c r="D269" s="32"/>
      <c r="E269" s="33"/>
      <c r="F269" s="34"/>
      <c r="G269" s="27"/>
      <c r="H269" s="28"/>
      <c r="I269" s="29"/>
      <c r="J269" s="28"/>
      <c r="K269" s="30"/>
      <c r="L269" s="31"/>
    </row>
    <row r="270" customFormat="false" ht="27.75" hidden="false" customHeight="true" outlineLevel="0" collapsed="false">
      <c r="A270" s="32"/>
      <c r="B270" s="32"/>
      <c r="C270" s="32"/>
      <c r="D270" s="32"/>
      <c r="E270" s="33"/>
      <c r="F270" s="34"/>
      <c r="G270" s="27"/>
      <c r="H270" s="28"/>
      <c r="I270" s="29"/>
      <c r="J270" s="28"/>
      <c r="K270" s="30"/>
      <c r="L270" s="31"/>
    </row>
    <row r="271" customFormat="false" ht="27.75" hidden="false" customHeight="true" outlineLevel="0" collapsed="false">
      <c r="A271" s="32"/>
      <c r="B271" s="32"/>
      <c r="C271" s="32"/>
      <c r="D271" s="32"/>
      <c r="E271" s="33"/>
      <c r="F271" s="34"/>
      <c r="G271" s="27"/>
      <c r="H271" s="28"/>
      <c r="I271" s="29"/>
      <c r="J271" s="28"/>
      <c r="K271" s="30"/>
      <c r="L271" s="31"/>
    </row>
    <row r="272" customFormat="false" ht="27.75" hidden="false" customHeight="true" outlineLevel="0" collapsed="false">
      <c r="A272" s="32"/>
      <c r="B272" s="32"/>
      <c r="C272" s="32"/>
      <c r="D272" s="32"/>
      <c r="E272" s="33"/>
      <c r="F272" s="34"/>
      <c r="G272" s="27"/>
      <c r="H272" s="28"/>
      <c r="I272" s="29"/>
      <c r="J272" s="28"/>
      <c r="K272" s="30"/>
      <c r="L272" s="31"/>
    </row>
    <row r="273" customFormat="false" ht="27.75" hidden="false" customHeight="true" outlineLevel="0" collapsed="false">
      <c r="A273" s="32"/>
      <c r="B273" s="32"/>
      <c r="C273" s="32"/>
      <c r="D273" s="32"/>
      <c r="E273" s="33"/>
      <c r="F273" s="34"/>
      <c r="G273" s="27"/>
      <c r="H273" s="28"/>
      <c r="I273" s="29"/>
      <c r="J273" s="28"/>
      <c r="K273" s="30"/>
      <c r="L273" s="31"/>
    </row>
    <row r="274" customFormat="false" ht="27.75" hidden="false" customHeight="true" outlineLevel="0" collapsed="false">
      <c r="A274" s="32"/>
      <c r="B274" s="32"/>
      <c r="C274" s="32"/>
      <c r="D274" s="32"/>
      <c r="E274" s="33"/>
      <c r="F274" s="34"/>
      <c r="G274" s="27"/>
      <c r="H274" s="28"/>
      <c r="I274" s="29"/>
      <c r="J274" s="28"/>
      <c r="K274" s="30"/>
      <c r="L274" s="31"/>
    </row>
    <row r="275" customFormat="false" ht="27.75" hidden="false" customHeight="true" outlineLevel="0" collapsed="false">
      <c r="A275" s="32"/>
      <c r="B275" s="32"/>
      <c r="C275" s="32"/>
      <c r="D275" s="32"/>
      <c r="E275" s="33"/>
      <c r="F275" s="34"/>
      <c r="G275" s="27"/>
      <c r="H275" s="28"/>
      <c r="I275" s="29"/>
      <c r="J275" s="28"/>
      <c r="K275" s="30"/>
      <c r="L275" s="31"/>
    </row>
    <row r="276" customFormat="false" ht="27.75" hidden="false" customHeight="true" outlineLevel="0" collapsed="false">
      <c r="A276" s="32"/>
      <c r="B276" s="32"/>
      <c r="C276" s="32"/>
      <c r="D276" s="32"/>
      <c r="E276" s="33"/>
      <c r="F276" s="34"/>
      <c r="G276" s="27"/>
      <c r="H276" s="28"/>
      <c r="I276" s="29"/>
      <c r="J276" s="28"/>
      <c r="K276" s="30"/>
      <c r="L276" s="31"/>
    </row>
    <row r="277" customFormat="false" ht="27.75" hidden="false" customHeight="true" outlineLevel="0" collapsed="false">
      <c r="A277" s="32"/>
      <c r="B277" s="32"/>
      <c r="C277" s="32"/>
      <c r="D277" s="32"/>
      <c r="E277" s="33"/>
      <c r="F277" s="34"/>
      <c r="G277" s="27"/>
      <c r="H277" s="28"/>
      <c r="I277" s="29"/>
      <c r="J277" s="28"/>
      <c r="K277" s="30"/>
      <c r="L277" s="31"/>
    </row>
    <row r="278" customFormat="false" ht="27.75" hidden="false" customHeight="true" outlineLevel="0" collapsed="false">
      <c r="A278" s="32"/>
      <c r="B278" s="32"/>
      <c r="C278" s="32"/>
      <c r="D278" s="32"/>
      <c r="E278" s="33"/>
      <c r="F278" s="34"/>
      <c r="G278" s="27"/>
      <c r="H278" s="28"/>
      <c r="I278" s="29"/>
      <c r="J278" s="28"/>
      <c r="K278" s="30"/>
      <c r="L278" s="31"/>
    </row>
    <row r="279" customFormat="false" ht="27.75" hidden="false" customHeight="true" outlineLevel="0" collapsed="false">
      <c r="A279" s="32"/>
      <c r="B279" s="32"/>
      <c r="C279" s="32"/>
      <c r="D279" s="32"/>
      <c r="E279" s="33"/>
      <c r="F279" s="34"/>
      <c r="G279" s="27"/>
      <c r="H279" s="28"/>
      <c r="I279" s="29"/>
      <c r="J279" s="28"/>
      <c r="K279" s="30"/>
      <c r="L279" s="31"/>
    </row>
    <row r="280" customFormat="false" ht="27.75" hidden="false" customHeight="true" outlineLevel="0" collapsed="false">
      <c r="A280" s="32"/>
      <c r="B280" s="32"/>
      <c r="C280" s="32"/>
      <c r="D280" s="32"/>
      <c r="E280" s="33"/>
      <c r="F280" s="34"/>
      <c r="G280" s="27"/>
      <c r="H280" s="28"/>
      <c r="I280" s="29"/>
      <c r="J280" s="28"/>
      <c r="K280" s="30"/>
      <c r="L280" s="31"/>
    </row>
    <row r="281" customFormat="false" ht="27.75" hidden="false" customHeight="true" outlineLevel="0" collapsed="false">
      <c r="A281" s="32"/>
      <c r="B281" s="32"/>
      <c r="C281" s="32"/>
      <c r="D281" s="32"/>
      <c r="E281" s="33"/>
      <c r="F281" s="34"/>
      <c r="G281" s="27"/>
      <c r="H281" s="28"/>
      <c r="I281" s="29"/>
      <c r="J281" s="28"/>
      <c r="K281" s="30"/>
      <c r="L281" s="31"/>
    </row>
    <row r="282" customFormat="false" ht="27.75" hidden="false" customHeight="true" outlineLevel="0" collapsed="false">
      <c r="A282" s="32"/>
      <c r="B282" s="32"/>
      <c r="C282" s="32"/>
      <c r="D282" s="32"/>
      <c r="E282" s="33"/>
      <c r="F282" s="34"/>
      <c r="G282" s="27"/>
      <c r="H282" s="28"/>
      <c r="I282" s="29"/>
      <c r="J282" s="28"/>
      <c r="K282" s="30"/>
      <c r="L282" s="31"/>
    </row>
    <row r="283" customFormat="false" ht="27.75" hidden="false" customHeight="true" outlineLevel="0" collapsed="false">
      <c r="A283" s="32"/>
      <c r="B283" s="32"/>
      <c r="C283" s="32"/>
      <c r="D283" s="32"/>
      <c r="E283" s="33"/>
      <c r="F283" s="34"/>
      <c r="G283" s="27"/>
      <c r="H283" s="28"/>
      <c r="I283" s="29"/>
      <c r="J283" s="28"/>
      <c r="K283" s="30"/>
      <c r="L283" s="31"/>
    </row>
    <row r="284" customFormat="false" ht="27.75" hidden="false" customHeight="true" outlineLevel="0" collapsed="false">
      <c r="A284" s="32"/>
      <c r="B284" s="32"/>
      <c r="C284" s="32"/>
      <c r="D284" s="32"/>
      <c r="E284" s="33"/>
      <c r="F284" s="34"/>
      <c r="G284" s="27"/>
      <c r="H284" s="28"/>
      <c r="I284" s="29"/>
      <c r="J284" s="28"/>
      <c r="K284" s="30"/>
      <c r="L284" s="31"/>
    </row>
    <row r="285" customFormat="false" ht="27.75" hidden="false" customHeight="true" outlineLevel="0" collapsed="false">
      <c r="A285" s="32"/>
      <c r="B285" s="32"/>
      <c r="C285" s="32"/>
      <c r="D285" s="32"/>
      <c r="E285" s="33"/>
      <c r="F285" s="34"/>
      <c r="G285" s="27"/>
      <c r="H285" s="28"/>
      <c r="I285" s="29"/>
      <c r="J285" s="28"/>
      <c r="K285" s="30"/>
      <c r="L285" s="31"/>
    </row>
    <row r="286" customFormat="false" ht="27.75" hidden="false" customHeight="true" outlineLevel="0" collapsed="false">
      <c r="A286" s="32"/>
      <c r="B286" s="32"/>
      <c r="C286" s="32"/>
      <c r="D286" s="32"/>
      <c r="E286" s="33"/>
      <c r="F286" s="34"/>
      <c r="G286" s="27"/>
      <c r="H286" s="28"/>
      <c r="I286" s="29"/>
      <c r="J286" s="28"/>
      <c r="K286" s="30"/>
      <c r="L286" s="31"/>
    </row>
    <row r="287" customFormat="false" ht="27.75" hidden="false" customHeight="true" outlineLevel="0" collapsed="false">
      <c r="A287" s="32"/>
      <c r="B287" s="32"/>
      <c r="C287" s="32"/>
      <c r="D287" s="32"/>
      <c r="E287" s="33"/>
      <c r="F287" s="34"/>
      <c r="G287" s="27"/>
      <c r="H287" s="28"/>
      <c r="I287" s="29"/>
      <c r="J287" s="28"/>
      <c r="K287" s="30"/>
      <c r="L287" s="31"/>
    </row>
    <row r="288" customFormat="false" ht="27.75" hidden="false" customHeight="true" outlineLevel="0" collapsed="false">
      <c r="A288" s="32"/>
      <c r="B288" s="32"/>
      <c r="C288" s="32"/>
      <c r="D288" s="32"/>
      <c r="E288" s="33"/>
      <c r="F288" s="34"/>
      <c r="G288" s="27"/>
      <c r="H288" s="28"/>
      <c r="I288" s="29"/>
      <c r="J288" s="28"/>
      <c r="K288" s="30"/>
      <c r="L288" s="31"/>
    </row>
    <row r="289" customFormat="false" ht="27.75" hidden="false" customHeight="true" outlineLevel="0" collapsed="false">
      <c r="A289" s="32"/>
      <c r="B289" s="32"/>
      <c r="C289" s="32"/>
      <c r="D289" s="32"/>
      <c r="E289" s="33"/>
      <c r="F289" s="34"/>
      <c r="G289" s="27"/>
      <c r="H289" s="28"/>
      <c r="I289" s="29"/>
      <c r="J289" s="28"/>
      <c r="K289" s="30"/>
      <c r="L289" s="31"/>
    </row>
    <row r="290" customFormat="false" ht="27.75" hidden="false" customHeight="true" outlineLevel="0" collapsed="false">
      <c r="A290" s="32"/>
      <c r="B290" s="32"/>
      <c r="C290" s="32"/>
      <c r="D290" s="32"/>
      <c r="E290" s="33"/>
      <c r="F290" s="34"/>
      <c r="G290" s="27"/>
      <c r="H290" s="28"/>
      <c r="I290" s="29"/>
      <c r="J290" s="28"/>
      <c r="K290" s="30"/>
      <c r="L290" s="31"/>
    </row>
    <row r="291" customFormat="false" ht="27.75" hidden="false" customHeight="true" outlineLevel="0" collapsed="false">
      <c r="A291" s="32"/>
      <c r="B291" s="32"/>
      <c r="C291" s="32"/>
      <c r="D291" s="32"/>
      <c r="E291" s="33"/>
      <c r="F291" s="34"/>
      <c r="G291" s="27"/>
      <c r="H291" s="28"/>
      <c r="I291" s="29"/>
      <c r="J291" s="28"/>
      <c r="K291" s="30"/>
      <c r="L291" s="31"/>
    </row>
    <row r="292" customFormat="false" ht="27.75" hidden="false" customHeight="true" outlineLevel="0" collapsed="false">
      <c r="A292" s="32"/>
      <c r="B292" s="32"/>
      <c r="C292" s="32"/>
      <c r="D292" s="32"/>
      <c r="E292" s="33"/>
      <c r="F292" s="34"/>
      <c r="G292" s="27"/>
      <c r="H292" s="28"/>
      <c r="I292" s="29"/>
      <c r="J292" s="28"/>
      <c r="K292" s="30"/>
      <c r="L292" s="31"/>
    </row>
    <row r="293" customFormat="false" ht="27.75" hidden="false" customHeight="true" outlineLevel="0" collapsed="false">
      <c r="A293" s="32"/>
      <c r="B293" s="32"/>
      <c r="C293" s="32"/>
      <c r="D293" s="32"/>
      <c r="E293" s="33"/>
      <c r="F293" s="34"/>
      <c r="G293" s="27"/>
      <c r="H293" s="28"/>
      <c r="I293" s="29"/>
      <c r="J293" s="28"/>
      <c r="K293" s="30"/>
      <c r="L293" s="31"/>
    </row>
    <row r="294" customFormat="false" ht="27.75" hidden="false" customHeight="true" outlineLevel="0" collapsed="false">
      <c r="A294" s="32"/>
      <c r="B294" s="32"/>
      <c r="C294" s="32"/>
      <c r="D294" s="32"/>
      <c r="E294" s="33"/>
      <c r="F294" s="34"/>
      <c r="G294" s="27"/>
      <c r="H294" s="28"/>
      <c r="I294" s="29"/>
      <c r="J294" s="28"/>
      <c r="K294" s="30"/>
      <c r="L294" s="31"/>
    </row>
    <row r="295" customFormat="false" ht="27.75" hidden="false" customHeight="true" outlineLevel="0" collapsed="false">
      <c r="A295" s="45"/>
      <c r="B295" s="45"/>
      <c r="C295" s="45"/>
      <c r="D295" s="45"/>
      <c r="E295" s="46"/>
      <c r="F295" s="47"/>
      <c r="G295" s="48"/>
      <c r="H295" s="49"/>
      <c r="I295" s="50"/>
      <c r="J295" s="49"/>
      <c r="K295" s="51"/>
      <c r="L295" s="52"/>
    </row>
    <row r="296" customFormat="false" ht="27.75" hidden="false" customHeight="true" outlineLevel="0" collapsed="false">
      <c r="A296" s="45"/>
      <c r="B296" s="45"/>
      <c r="C296" s="45"/>
      <c r="D296" s="45"/>
      <c r="E296" s="46"/>
      <c r="F296" s="47"/>
      <c r="G296" s="48"/>
      <c r="H296" s="49"/>
      <c r="I296" s="50"/>
      <c r="J296" s="49"/>
      <c r="K296" s="51"/>
      <c r="L296" s="52"/>
    </row>
    <row r="297" customFormat="false" ht="27.75" hidden="false" customHeight="true" outlineLevel="0" collapsed="false"/>
    <row r="298" customFormat="false" ht="27.75" hidden="false" customHeight="true" outlineLevel="0" collapsed="false"/>
    <row r="299" customFormat="false" ht="27.75" hidden="false" customHeight="true" outlineLevel="0" collapsed="false"/>
    <row r="300" customFormat="false" ht="27.75" hidden="false" customHeight="true" outlineLevel="0" collapsed="false"/>
  </sheetData>
  <mergeCells count="2">
    <mergeCell ref="A1:L1"/>
    <mergeCell ref="A2:L2"/>
  </mergeCells>
  <conditionalFormatting sqref="A5:F300">
    <cfRule type="expression" priority="2" aboveAverage="0" equalAverage="0" bottom="0" percent="0" rank="0" text="" dxfId="0">
      <formula>$B5="Deposit"</formula>
    </cfRule>
    <cfRule type="expression" priority="3" aboveAverage="0" equalAverage="0" bottom="0" percent="0" rank="0" text="" dxfId="1">
      <formula>$B5="Cash Out"</formula>
    </cfRule>
    <cfRule type="expression" priority="4" aboveAverage="0" equalAverage="0" bottom="0" percent="0" rank="0" text="" dxfId="2">
      <formula>$B5="Cash In"</formula>
    </cfRule>
    <cfRule type="expression" priority="5" aboveAverage="0" equalAverage="0" bottom="0" percent="0" rank="0" text="" dxfId="3">
      <formula>$B5="Payment"</formula>
    </cfRule>
  </conditionalFormatting>
  <conditionalFormatting sqref="L5:L300">
    <cfRule type="expression" priority="6" aboveAverage="0" equalAverage="0" bottom="0" percent="0" rank="0" text="" dxfId="4">
      <formula>$B5="Deposit"</formula>
    </cfRule>
    <cfRule type="expression" priority="7" aboveAverage="0" equalAverage="0" bottom="0" percent="0" rank="0" text="" dxfId="4">
      <formula>$B5="Cash Out"</formula>
    </cfRule>
    <cfRule type="expression" priority="8" aboveAverage="0" equalAverage="0" bottom="0" percent="0" rank="0" text="" dxfId="4">
      <formula>$B5="Cash In"</formula>
    </cfRule>
    <cfRule type="expression" priority="9" aboveAverage="0" equalAverage="0" bottom="0" percent="0" rank="0" text="" dxfId="4">
      <formula>$B5="Payment"</formula>
    </cfRule>
  </conditionalFormatting>
  <dataValidations count="2">
    <dataValidation allowBlank="false" errorStyle="stop" operator="between" showDropDown="false" showErrorMessage="false" showInputMessage="false" sqref="B5:B300" type="list">
      <formula1>"Deposit,Payment,Cash Out,Cash In,❓ Unknown"</formula1>
      <formula2>0</formula2>
    </dataValidation>
    <dataValidation allowBlank="false" errorStyle="stop" operator="between" showDropDown="false" showErrorMessage="false" showInputMessage="false" sqref="E5:E3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6" activePane="bottomLeft" state="frozen"/>
      <selection pane="topLeft" activeCell="A1" activeCellId="0" sqref="A1"/>
      <selection pane="bottomLeft" activeCell="F44" activeCellId="0" sqref="F4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32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26"/>
    <col collapsed="false" customWidth="true" hidden="false" outlineLevel="0" max="10" min="10" style="1" width="40"/>
  </cols>
  <sheetData>
    <row r="1" customFormat="false" ht="30" hidden="false" customHeight="true" outlineLevel="0" collapsed="false">
      <c r="A1" s="2" t="s">
        <v>162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163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5.5" hidden="false" customHeight="true" outlineLevel="0" collapsed="false">
      <c r="A4" s="22" t="s">
        <v>164</v>
      </c>
      <c r="B4" s="22" t="s">
        <v>165</v>
      </c>
      <c r="C4" s="22" t="s">
        <v>166</v>
      </c>
      <c r="D4" s="22" t="s">
        <v>23</v>
      </c>
      <c r="E4" s="22" t="s">
        <v>167</v>
      </c>
      <c r="F4" s="22" t="s">
        <v>168</v>
      </c>
      <c r="G4" s="22" t="s">
        <v>169</v>
      </c>
      <c r="H4" s="22" t="s">
        <v>170</v>
      </c>
      <c r="I4" s="22" t="s">
        <v>171</v>
      </c>
      <c r="J4" s="22" t="s">
        <v>30</v>
      </c>
    </row>
    <row r="5" customFormat="false" ht="27.75" hidden="false" customHeight="true" outlineLevel="0" collapsed="false">
      <c r="A5" s="24" t="s">
        <v>172</v>
      </c>
      <c r="B5" s="24" t="s">
        <v>173</v>
      </c>
      <c r="C5" s="24" t="s">
        <v>174</v>
      </c>
      <c r="D5" s="25" t="s">
        <v>35</v>
      </c>
      <c r="E5" s="26" t="n">
        <v>1507500</v>
      </c>
      <c r="F5" s="53" t="n">
        <v>410483.32</v>
      </c>
      <c r="G5" s="54" t="s">
        <v>175</v>
      </c>
      <c r="H5" s="24" t="s">
        <v>176</v>
      </c>
      <c r="I5" s="55" t="s">
        <v>177</v>
      </c>
      <c r="J5" s="31" t="s">
        <v>178</v>
      </c>
    </row>
    <row r="6" customFormat="false" ht="27.75" hidden="false" customHeight="true" outlineLevel="0" collapsed="false">
      <c r="A6" s="24" t="s">
        <v>179</v>
      </c>
      <c r="B6" s="24" t="s">
        <v>180</v>
      </c>
      <c r="C6" s="24" t="s">
        <v>40</v>
      </c>
      <c r="D6" s="25" t="s">
        <v>41</v>
      </c>
      <c r="E6" s="26" t="n">
        <v>74520</v>
      </c>
      <c r="F6" s="53" t="n">
        <v>10626.72</v>
      </c>
      <c r="G6" s="54" t="s">
        <v>175</v>
      </c>
      <c r="H6" s="24" t="s">
        <v>37</v>
      </c>
      <c r="I6" s="55" t="s">
        <v>181</v>
      </c>
      <c r="J6" s="31" t="s">
        <v>182</v>
      </c>
    </row>
    <row r="7" customFormat="false" ht="27.75" hidden="false" customHeight="true" outlineLevel="0" collapsed="false">
      <c r="A7" s="24" t="s">
        <v>51</v>
      </c>
      <c r="B7" s="24" t="s">
        <v>183</v>
      </c>
      <c r="C7" s="24" t="s">
        <v>53</v>
      </c>
      <c r="D7" s="25" t="s">
        <v>41</v>
      </c>
      <c r="E7" s="26" t="n">
        <v>381089</v>
      </c>
      <c r="F7" s="53" t="n">
        <v>54344.15</v>
      </c>
      <c r="G7" s="54" t="s">
        <v>175</v>
      </c>
      <c r="H7" s="24" t="s">
        <v>51</v>
      </c>
      <c r="I7" s="55" t="s">
        <v>184</v>
      </c>
      <c r="J7" s="31" t="s">
        <v>185</v>
      </c>
    </row>
    <row r="8" customFormat="false" ht="27.75" hidden="false" customHeight="true" outlineLevel="0" collapsed="false">
      <c r="A8" s="24" t="s">
        <v>55</v>
      </c>
      <c r="B8" s="24" t="s">
        <v>186</v>
      </c>
      <c r="C8" s="24" t="s">
        <v>40</v>
      </c>
      <c r="D8" s="25" t="s">
        <v>41</v>
      </c>
      <c r="E8" s="26" t="n">
        <v>4356737.02</v>
      </c>
      <c r="F8" s="53" t="n">
        <v>621280.51</v>
      </c>
      <c r="G8" s="54" t="s">
        <v>175</v>
      </c>
      <c r="H8" s="24" t="s">
        <v>55</v>
      </c>
      <c r="I8" s="55" t="s">
        <v>187</v>
      </c>
      <c r="J8" s="31" t="s">
        <v>188</v>
      </c>
    </row>
    <row r="9" customFormat="false" ht="27.75" hidden="false" customHeight="true" outlineLevel="0" collapsed="false">
      <c r="A9" s="24" t="s">
        <v>189</v>
      </c>
      <c r="B9" s="24" t="s">
        <v>190</v>
      </c>
      <c r="C9" s="24" t="s">
        <v>71</v>
      </c>
      <c r="D9" s="25" t="s">
        <v>35</v>
      </c>
      <c r="E9" s="26" t="n">
        <v>30240</v>
      </c>
      <c r="F9" s="53" t="n">
        <v>8234.17</v>
      </c>
      <c r="G9" s="54" t="s">
        <v>175</v>
      </c>
      <c r="H9" s="24" t="s">
        <v>65</v>
      </c>
      <c r="I9" s="55" t="s">
        <v>191</v>
      </c>
      <c r="J9" s="31" t="s">
        <v>192</v>
      </c>
    </row>
    <row r="10" customFormat="false" ht="27.75" hidden="false" customHeight="true" outlineLevel="0" collapsed="false">
      <c r="A10" s="24" t="s">
        <v>189</v>
      </c>
      <c r="B10" s="24" t="s">
        <v>193</v>
      </c>
      <c r="C10" s="24" t="s">
        <v>74</v>
      </c>
      <c r="D10" s="25" t="s">
        <v>35</v>
      </c>
      <c r="E10" s="26" t="n">
        <v>1890</v>
      </c>
      <c r="F10" s="53" t="n">
        <v>514.64</v>
      </c>
      <c r="G10" s="54" t="s">
        <v>175</v>
      </c>
      <c r="H10" s="24" t="s">
        <v>65</v>
      </c>
      <c r="I10" s="55" t="s">
        <v>194</v>
      </c>
      <c r="J10" s="31" t="s">
        <v>195</v>
      </c>
    </row>
    <row r="11" customFormat="false" ht="27.75" hidden="false" customHeight="true" outlineLevel="0" collapsed="false">
      <c r="A11" s="24" t="s">
        <v>189</v>
      </c>
      <c r="B11" s="24" t="s">
        <v>196</v>
      </c>
      <c r="C11" s="24" t="s">
        <v>74</v>
      </c>
      <c r="D11" s="25" t="s">
        <v>35</v>
      </c>
      <c r="E11" s="26" t="n">
        <v>27858.6</v>
      </c>
      <c r="F11" s="53" t="n">
        <v>7585.73</v>
      </c>
      <c r="G11" s="54" t="s">
        <v>175</v>
      </c>
      <c r="H11" s="24" t="s">
        <v>65</v>
      </c>
      <c r="I11" s="55" t="s">
        <v>197</v>
      </c>
      <c r="J11" s="31" t="s">
        <v>198</v>
      </c>
    </row>
    <row r="12" customFormat="false" ht="27.75" hidden="false" customHeight="true" outlineLevel="0" collapsed="false">
      <c r="A12" s="24" t="s">
        <v>65</v>
      </c>
      <c r="B12" s="24" t="s">
        <v>199</v>
      </c>
      <c r="C12" s="24" t="s">
        <v>80</v>
      </c>
      <c r="D12" s="25" t="s">
        <v>35</v>
      </c>
      <c r="E12" s="26" t="n">
        <v>283413.37</v>
      </c>
      <c r="F12" s="53" t="n">
        <v>77171.78</v>
      </c>
      <c r="G12" s="54" t="s">
        <v>175</v>
      </c>
      <c r="H12" s="24" t="s">
        <v>78</v>
      </c>
      <c r="I12" s="55" t="s">
        <v>200</v>
      </c>
      <c r="J12" s="31" t="s">
        <v>201</v>
      </c>
    </row>
    <row r="13" customFormat="false" ht="27.75" hidden="false" customHeight="true" outlineLevel="0" collapsed="false">
      <c r="A13" s="24" t="s">
        <v>202</v>
      </c>
      <c r="B13" s="24" t="s">
        <v>203</v>
      </c>
      <c r="C13" s="24" t="s">
        <v>83</v>
      </c>
      <c r="D13" s="25" t="s">
        <v>35</v>
      </c>
      <c r="E13" s="26" t="n">
        <v>9082.5</v>
      </c>
      <c r="F13" s="53" t="n">
        <v>2473.11</v>
      </c>
      <c r="G13" s="54" t="s">
        <v>175</v>
      </c>
      <c r="H13" s="24" t="s">
        <v>78</v>
      </c>
      <c r="I13" s="55" t="s">
        <v>204</v>
      </c>
      <c r="J13" s="31" t="s">
        <v>205</v>
      </c>
    </row>
    <row r="14" customFormat="false" ht="27.75" hidden="false" customHeight="true" outlineLevel="0" collapsed="false">
      <c r="A14" s="24" t="s">
        <v>202</v>
      </c>
      <c r="B14" s="24" t="s">
        <v>206</v>
      </c>
      <c r="C14" s="24" t="s">
        <v>83</v>
      </c>
      <c r="D14" s="25" t="s">
        <v>35</v>
      </c>
      <c r="E14" s="26" t="n">
        <v>4160</v>
      </c>
      <c r="F14" s="53" t="n">
        <v>1132.74</v>
      </c>
      <c r="G14" s="54" t="s">
        <v>175</v>
      </c>
      <c r="H14" s="24" t="s">
        <v>78</v>
      </c>
      <c r="I14" s="55" t="s">
        <v>207</v>
      </c>
      <c r="J14" s="31" t="s">
        <v>208</v>
      </c>
    </row>
    <row r="15" customFormat="false" ht="27.75" hidden="false" customHeight="true" outlineLevel="0" collapsed="false">
      <c r="A15" s="24" t="s">
        <v>209</v>
      </c>
      <c r="B15" s="24" t="s">
        <v>210</v>
      </c>
      <c r="C15" s="24" t="s">
        <v>95</v>
      </c>
      <c r="D15" s="25" t="s">
        <v>96</v>
      </c>
      <c r="E15" s="26" t="n">
        <v>310.9</v>
      </c>
      <c r="F15" s="53" t="n">
        <v>248.03</v>
      </c>
      <c r="G15" s="54" t="s">
        <v>175</v>
      </c>
      <c r="H15" s="24" t="s">
        <v>87</v>
      </c>
      <c r="I15" s="55" t="s">
        <v>211</v>
      </c>
      <c r="J15" s="31" t="s">
        <v>212</v>
      </c>
    </row>
    <row r="16" customFormat="false" ht="27.75" hidden="false" customHeight="true" outlineLevel="0" collapsed="false">
      <c r="A16" s="24" t="s">
        <v>209</v>
      </c>
      <c r="B16" s="24" t="s">
        <v>213</v>
      </c>
      <c r="C16" s="24" t="s">
        <v>95</v>
      </c>
      <c r="D16" s="25" t="s">
        <v>96</v>
      </c>
      <c r="E16" s="26" t="n">
        <v>310.9</v>
      </c>
      <c r="F16" s="53" t="n">
        <v>248.03</v>
      </c>
      <c r="G16" s="54" t="s">
        <v>175</v>
      </c>
      <c r="H16" s="24" t="s">
        <v>87</v>
      </c>
      <c r="I16" s="55" t="s">
        <v>211</v>
      </c>
      <c r="J16" s="31" t="s">
        <v>214</v>
      </c>
    </row>
    <row r="17" customFormat="false" ht="27.75" hidden="false" customHeight="true" outlineLevel="0" collapsed="false">
      <c r="A17" s="24" t="s">
        <v>209</v>
      </c>
      <c r="B17" s="24" t="s">
        <v>215</v>
      </c>
      <c r="C17" s="24" t="s">
        <v>95</v>
      </c>
      <c r="D17" s="25" t="s">
        <v>96</v>
      </c>
      <c r="E17" s="26" t="n">
        <v>310.9</v>
      </c>
      <c r="F17" s="53" t="n">
        <v>248.03</v>
      </c>
      <c r="G17" s="54" t="s">
        <v>175</v>
      </c>
      <c r="H17" s="24" t="s">
        <v>87</v>
      </c>
      <c r="I17" s="55" t="s">
        <v>211</v>
      </c>
      <c r="J17" s="31" t="s">
        <v>216</v>
      </c>
    </row>
    <row r="18" customFormat="false" ht="27.75" hidden="false" customHeight="true" outlineLevel="0" collapsed="false">
      <c r="A18" s="24" t="s">
        <v>209</v>
      </c>
      <c r="B18" s="24" t="s">
        <v>217</v>
      </c>
      <c r="C18" s="24" t="s">
        <v>92</v>
      </c>
      <c r="D18" s="25" t="s">
        <v>35</v>
      </c>
      <c r="E18" s="26" t="n">
        <v>2350</v>
      </c>
      <c r="F18" s="53" t="n">
        <v>639.89</v>
      </c>
      <c r="G18" s="54" t="s">
        <v>175</v>
      </c>
      <c r="H18" s="24" t="s">
        <v>87</v>
      </c>
      <c r="I18" s="55" t="s">
        <v>218</v>
      </c>
      <c r="J18" s="31" t="s">
        <v>219</v>
      </c>
    </row>
    <row r="19" customFormat="false" ht="27.75" hidden="false" customHeight="true" outlineLevel="0" collapsed="false">
      <c r="A19" s="24" t="s">
        <v>220</v>
      </c>
      <c r="B19" s="24" t="s">
        <v>221</v>
      </c>
      <c r="C19" s="24" t="s">
        <v>89</v>
      </c>
      <c r="D19" s="25" t="s">
        <v>35</v>
      </c>
      <c r="E19" s="26" t="n">
        <v>5000</v>
      </c>
      <c r="F19" s="53" t="n">
        <v>1361.47</v>
      </c>
      <c r="G19" s="54" t="s">
        <v>175</v>
      </c>
      <c r="H19" s="24" t="s">
        <v>87</v>
      </c>
      <c r="I19" s="55" t="s">
        <v>222</v>
      </c>
      <c r="J19" s="31" t="s">
        <v>223</v>
      </c>
    </row>
    <row r="20" customFormat="false" ht="27.75" hidden="false" customHeight="true" outlineLevel="0" collapsed="false">
      <c r="A20" s="24" t="s">
        <v>87</v>
      </c>
      <c r="B20" s="24" t="s">
        <v>224</v>
      </c>
      <c r="C20" s="24" t="s">
        <v>102</v>
      </c>
      <c r="D20" s="25" t="s">
        <v>35</v>
      </c>
      <c r="E20" s="26" t="n">
        <v>2121212.17</v>
      </c>
      <c r="F20" s="53" t="n">
        <v>577593.51</v>
      </c>
      <c r="G20" s="54" t="s">
        <v>175</v>
      </c>
      <c r="H20" s="24" t="s">
        <v>100</v>
      </c>
      <c r="I20" s="55" t="s">
        <v>225</v>
      </c>
      <c r="J20" s="31" t="s">
        <v>226</v>
      </c>
    </row>
    <row r="21" customFormat="false" ht="27.75" hidden="false" customHeight="true" outlineLevel="0" collapsed="false">
      <c r="A21" s="24" t="s">
        <v>227</v>
      </c>
      <c r="B21" s="24" t="s">
        <v>228</v>
      </c>
      <c r="C21" s="24" t="s">
        <v>83</v>
      </c>
      <c r="D21" s="25" t="s">
        <v>35</v>
      </c>
      <c r="E21" s="26" t="n">
        <v>55453.14</v>
      </c>
      <c r="F21" s="53" t="n">
        <v>15099.56</v>
      </c>
      <c r="G21" s="54" t="s">
        <v>175</v>
      </c>
      <c r="H21" s="24" t="s">
        <v>111</v>
      </c>
      <c r="I21" s="55" t="s">
        <v>229</v>
      </c>
      <c r="J21" s="31" t="s">
        <v>230</v>
      </c>
    </row>
    <row r="22" customFormat="false" ht="27.75" hidden="false" customHeight="true" outlineLevel="0" collapsed="false">
      <c r="A22" s="24" t="s">
        <v>108</v>
      </c>
      <c r="B22" s="24" t="s">
        <v>231</v>
      </c>
      <c r="C22" s="24" t="s">
        <v>232</v>
      </c>
      <c r="D22" s="25" t="s">
        <v>41</v>
      </c>
      <c r="E22" s="26" t="n">
        <v>496460.13</v>
      </c>
      <c r="F22" s="53" t="n">
        <v>70796.33</v>
      </c>
      <c r="G22" s="54" t="s">
        <v>175</v>
      </c>
      <c r="H22" s="24" t="s">
        <v>114</v>
      </c>
      <c r="I22" s="55" t="s">
        <v>233</v>
      </c>
      <c r="J22" s="31" t="s">
        <v>234</v>
      </c>
    </row>
    <row r="23" customFormat="false" ht="27.75" hidden="false" customHeight="true" outlineLevel="0" collapsed="false">
      <c r="A23" s="24" t="s">
        <v>235</v>
      </c>
      <c r="B23" s="24" t="s">
        <v>236</v>
      </c>
      <c r="C23" s="24" t="s">
        <v>119</v>
      </c>
      <c r="D23" s="25" t="s">
        <v>120</v>
      </c>
      <c r="E23" s="26" t="n">
        <v>2330</v>
      </c>
      <c r="F23" s="53" t="n">
        <v>2330</v>
      </c>
      <c r="G23" s="54" t="s">
        <v>175</v>
      </c>
      <c r="H23" s="24" t="s">
        <v>114</v>
      </c>
      <c r="I23" s="55" t="s">
        <v>237</v>
      </c>
      <c r="J23" s="31" t="s">
        <v>238</v>
      </c>
    </row>
    <row r="24" customFormat="false" ht="27.75" hidden="false" customHeight="true" outlineLevel="0" collapsed="false">
      <c r="A24" s="24" t="s">
        <v>239</v>
      </c>
      <c r="B24" s="24" t="s">
        <v>240</v>
      </c>
      <c r="C24" s="24" t="s">
        <v>95</v>
      </c>
      <c r="D24" s="25" t="s">
        <v>96</v>
      </c>
      <c r="E24" s="26" t="n">
        <v>1150</v>
      </c>
      <c r="F24" s="53" t="n">
        <v>917.43</v>
      </c>
      <c r="G24" s="54" t="s">
        <v>175</v>
      </c>
      <c r="H24" s="24" t="s">
        <v>128</v>
      </c>
      <c r="I24" s="55" t="s">
        <v>241</v>
      </c>
      <c r="J24" s="31" t="s">
        <v>242</v>
      </c>
    </row>
    <row r="25" customFormat="false" ht="27.75" hidden="false" customHeight="true" outlineLevel="0" collapsed="false">
      <c r="A25" s="24" t="s">
        <v>239</v>
      </c>
      <c r="B25" s="24" t="s">
        <v>243</v>
      </c>
      <c r="C25" s="24" t="s">
        <v>95</v>
      </c>
      <c r="D25" s="25" t="s">
        <v>96</v>
      </c>
      <c r="E25" s="26" t="n">
        <v>776.2</v>
      </c>
      <c r="F25" s="53" t="n">
        <v>619.23</v>
      </c>
      <c r="G25" s="54" t="s">
        <v>175</v>
      </c>
      <c r="H25" s="24" t="s">
        <v>128</v>
      </c>
      <c r="I25" s="55" t="s">
        <v>241</v>
      </c>
      <c r="J25" s="31" t="s">
        <v>244</v>
      </c>
    </row>
    <row r="26" customFormat="false" ht="27.75" hidden="false" customHeight="true" outlineLevel="0" collapsed="false">
      <c r="A26" s="24" t="s">
        <v>239</v>
      </c>
      <c r="B26" s="24" t="s">
        <v>245</v>
      </c>
      <c r="C26" s="24" t="s">
        <v>95</v>
      </c>
      <c r="D26" s="25" t="s">
        <v>96</v>
      </c>
      <c r="E26" s="26" t="n">
        <v>703.1</v>
      </c>
      <c r="F26" s="53" t="n">
        <v>560.91</v>
      </c>
      <c r="G26" s="54" t="s">
        <v>175</v>
      </c>
      <c r="H26" s="24" t="s">
        <v>128</v>
      </c>
      <c r="I26" s="55" t="s">
        <v>241</v>
      </c>
      <c r="J26" s="31" t="s">
        <v>246</v>
      </c>
    </row>
    <row r="27" customFormat="false" ht="27.75" hidden="false" customHeight="true" outlineLevel="0" collapsed="false">
      <c r="A27" s="24" t="s">
        <v>239</v>
      </c>
      <c r="B27" s="24" t="s">
        <v>247</v>
      </c>
      <c r="C27" s="24" t="s">
        <v>95</v>
      </c>
      <c r="D27" s="25" t="s">
        <v>96</v>
      </c>
      <c r="E27" s="26" t="n">
        <v>643.1</v>
      </c>
      <c r="F27" s="53" t="n">
        <v>513.04</v>
      </c>
      <c r="G27" s="54" t="s">
        <v>175</v>
      </c>
      <c r="H27" s="24" t="s">
        <v>128</v>
      </c>
      <c r="I27" s="55" t="s">
        <v>241</v>
      </c>
      <c r="J27" s="31" t="s">
        <v>248</v>
      </c>
    </row>
    <row r="28" customFormat="false" ht="27.75" hidden="false" customHeight="true" outlineLevel="0" collapsed="false">
      <c r="A28" s="24" t="s">
        <v>239</v>
      </c>
      <c r="B28" s="24" t="s">
        <v>249</v>
      </c>
      <c r="C28" s="24" t="s">
        <v>95</v>
      </c>
      <c r="D28" s="25" t="s">
        <v>96</v>
      </c>
      <c r="E28" s="26" t="n">
        <v>2913.05</v>
      </c>
      <c r="F28" s="53" t="n">
        <v>2323.93</v>
      </c>
      <c r="G28" s="54" t="s">
        <v>175</v>
      </c>
      <c r="H28" s="24" t="s">
        <v>128</v>
      </c>
      <c r="I28" s="55" t="s">
        <v>241</v>
      </c>
      <c r="J28" s="31" t="s">
        <v>250</v>
      </c>
    </row>
    <row r="29" customFormat="false" ht="27.75" hidden="false" customHeight="true" outlineLevel="0" collapsed="false">
      <c r="A29" s="24" t="s">
        <v>239</v>
      </c>
      <c r="B29" s="24" t="s">
        <v>251</v>
      </c>
      <c r="C29" s="24" t="s">
        <v>252</v>
      </c>
      <c r="D29" s="25" t="s">
        <v>133</v>
      </c>
      <c r="E29" s="26" t="n">
        <v>2800</v>
      </c>
      <c r="F29" s="53" t="n">
        <v>3319.9</v>
      </c>
      <c r="G29" s="54" t="s">
        <v>175</v>
      </c>
      <c r="H29" s="24" t="s">
        <v>128</v>
      </c>
      <c r="I29" s="55" t="s">
        <v>253</v>
      </c>
      <c r="J29" s="31" t="s">
        <v>254</v>
      </c>
    </row>
    <row r="30" customFormat="false" ht="27.75" hidden="false" customHeight="true" outlineLevel="0" collapsed="false">
      <c r="A30" s="24" t="s">
        <v>255</v>
      </c>
      <c r="B30" s="24" t="s">
        <v>256</v>
      </c>
      <c r="C30" s="24" t="s">
        <v>146</v>
      </c>
      <c r="D30" s="25" t="s">
        <v>35</v>
      </c>
      <c r="E30" s="26" t="n">
        <v>86520</v>
      </c>
      <c r="F30" s="53" t="n">
        <v>23558.88</v>
      </c>
      <c r="G30" s="54" t="s">
        <v>175</v>
      </c>
      <c r="H30" s="24" t="s">
        <v>144</v>
      </c>
      <c r="I30" s="55" t="s">
        <v>257</v>
      </c>
      <c r="J30" s="31" t="s">
        <v>258</v>
      </c>
    </row>
    <row r="31" customFormat="false" ht="27.75" hidden="false" customHeight="true" outlineLevel="0" collapsed="false">
      <c r="A31" s="24" t="s">
        <v>255</v>
      </c>
      <c r="B31" s="24" t="s">
        <v>259</v>
      </c>
      <c r="C31" s="24" t="s">
        <v>146</v>
      </c>
      <c r="D31" s="25" t="s">
        <v>35</v>
      </c>
      <c r="E31" s="26" t="n">
        <v>66412.5</v>
      </c>
      <c r="F31" s="53" t="n">
        <v>18083.73</v>
      </c>
      <c r="G31" s="54" t="s">
        <v>175</v>
      </c>
      <c r="H31" s="24" t="s">
        <v>144</v>
      </c>
      <c r="I31" s="55" t="s">
        <v>260</v>
      </c>
      <c r="J31" s="31" t="s">
        <v>261</v>
      </c>
    </row>
    <row r="32" customFormat="false" ht="27.75" hidden="false" customHeight="true" outlineLevel="0" collapsed="false">
      <c r="A32" s="24" t="s">
        <v>141</v>
      </c>
      <c r="B32" s="24" t="s">
        <v>262</v>
      </c>
      <c r="C32" s="24" t="s">
        <v>146</v>
      </c>
      <c r="D32" s="25" t="s">
        <v>35</v>
      </c>
      <c r="E32" s="26" t="n">
        <v>13650</v>
      </c>
      <c r="F32" s="53" t="n">
        <v>3716.81</v>
      </c>
      <c r="G32" s="54" t="s">
        <v>175</v>
      </c>
      <c r="H32" s="24" t="s">
        <v>144</v>
      </c>
      <c r="I32" s="55" t="s">
        <v>263</v>
      </c>
      <c r="J32" s="31" t="s">
        <v>264</v>
      </c>
    </row>
    <row r="33" customFormat="false" ht="27.75" hidden="false" customHeight="true" outlineLevel="0" collapsed="false">
      <c r="A33" s="56" t="s">
        <v>265</v>
      </c>
      <c r="B33" s="56" t="s">
        <v>266</v>
      </c>
      <c r="C33" s="56" t="s">
        <v>267</v>
      </c>
      <c r="D33" s="57" t="s">
        <v>35</v>
      </c>
      <c r="E33" s="58" t="n">
        <v>197334.74</v>
      </c>
      <c r="F33" s="44" t="n">
        <v>53733.08</v>
      </c>
      <c r="G33" s="59" t="s">
        <v>268</v>
      </c>
      <c r="H33" s="56"/>
      <c r="I33" s="60"/>
      <c r="J33" s="31" t="s">
        <v>269</v>
      </c>
    </row>
    <row r="34" customFormat="false" ht="27.75" hidden="false" customHeight="true" outlineLevel="0" collapsed="false">
      <c r="A34" s="56" t="s">
        <v>265</v>
      </c>
      <c r="B34" s="56" t="s">
        <v>270</v>
      </c>
      <c r="C34" s="56" t="s">
        <v>271</v>
      </c>
      <c r="D34" s="57" t="s">
        <v>35</v>
      </c>
      <c r="E34" s="58" t="n">
        <v>17799.36</v>
      </c>
      <c r="F34" s="44" t="n">
        <v>4846.66</v>
      </c>
      <c r="G34" s="59" t="s">
        <v>268</v>
      </c>
      <c r="H34" s="56"/>
      <c r="I34" s="60"/>
      <c r="J34" s="31" t="s">
        <v>272</v>
      </c>
    </row>
    <row r="35" customFormat="false" ht="27.75" hidden="false" customHeight="true" outlineLevel="0" collapsed="false">
      <c r="A35" s="56" t="s">
        <v>265</v>
      </c>
      <c r="B35" s="56" t="s">
        <v>273</v>
      </c>
      <c r="C35" s="56" t="s">
        <v>274</v>
      </c>
      <c r="D35" s="57" t="s">
        <v>35</v>
      </c>
      <c r="E35" s="58" t="n">
        <v>14988.6</v>
      </c>
      <c r="F35" s="44" t="n">
        <v>4081.31</v>
      </c>
      <c r="G35" s="59" t="s">
        <v>268</v>
      </c>
      <c r="H35" s="56"/>
      <c r="I35" s="60"/>
      <c r="J35" s="31"/>
    </row>
    <row r="36" customFormat="false" ht="27.75" hidden="false" customHeight="true" outlineLevel="0" collapsed="false">
      <c r="A36" s="56" t="s">
        <v>265</v>
      </c>
      <c r="B36" s="56" t="s">
        <v>275</v>
      </c>
      <c r="C36" s="56" t="s">
        <v>80</v>
      </c>
      <c r="D36" s="57" t="s">
        <v>35</v>
      </c>
      <c r="E36" s="58" t="n">
        <v>13865.24</v>
      </c>
      <c r="F36" s="44" t="n">
        <v>3775.42</v>
      </c>
      <c r="G36" s="59" t="s">
        <v>268</v>
      </c>
      <c r="H36" s="56"/>
      <c r="I36" s="60"/>
      <c r="J36" s="31" t="s">
        <v>276</v>
      </c>
    </row>
    <row r="37" customFormat="false" ht="27.75" hidden="false" customHeight="true" outlineLevel="0" collapsed="false">
      <c r="A37" s="56" t="s">
        <v>265</v>
      </c>
      <c r="B37" s="56" t="s">
        <v>277</v>
      </c>
      <c r="C37" s="56" t="s">
        <v>278</v>
      </c>
      <c r="D37" s="57" t="s">
        <v>35</v>
      </c>
      <c r="E37" s="58" t="n">
        <v>242022.05</v>
      </c>
      <c r="F37" s="44" t="n">
        <v>65901.17</v>
      </c>
      <c r="G37" s="59" t="s">
        <v>268</v>
      </c>
      <c r="H37" s="56"/>
      <c r="I37" s="60"/>
      <c r="J37" s="31" t="s">
        <v>279</v>
      </c>
    </row>
    <row r="38" customFormat="false" ht="27.75" hidden="false" customHeight="true" outlineLevel="0" collapsed="false">
      <c r="A38" s="56" t="s">
        <v>265</v>
      </c>
      <c r="B38" s="56" t="s">
        <v>280</v>
      </c>
      <c r="C38" s="56" t="s">
        <v>281</v>
      </c>
      <c r="D38" s="57" t="s">
        <v>120</v>
      </c>
      <c r="E38" s="58" t="n">
        <v>6037.5</v>
      </c>
      <c r="F38" s="44" t="n">
        <v>6037.5</v>
      </c>
      <c r="G38" s="59" t="s">
        <v>268</v>
      </c>
      <c r="H38" s="56"/>
      <c r="I38" s="60"/>
      <c r="J38" s="31" t="s">
        <v>282</v>
      </c>
    </row>
    <row r="39" customFormat="false" ht="27.75" hidden="false" customHeight="true" outlineLevel="0" collapsed="false">
      <c r="A39" s="56" t="s">
        <v>265</v>
      </c>
      <c r="B39" s="56" t="s">
        <v>283</v>
      </c>
      <c r="C39" s="56" t="s">
        <v>284</v>
      </c>
      <c r="D39" s="57" t="s">
        <v>35</v>
      </c>
      <c r="E39" s="58" t="n">
        <v>8032.5</v>
      </c>
      <c r="F39" s="44" t="n">
        <v>2187.2</v>
      </c>
      <c r="G39" s="59" t="s">
        <v>268</v>
      </c>
      <c r="H39" s="56"/>
      <c r="I39" s="60"/>
      <c r="J39" s="31" t="s">
        <v>285</v>
      </c>
    </row>
    <row r="40" customFormat="false" ht="27.75" hidden="false" customHeight="true" outlineLevel="0" collapsed="false">
      <c r="A40" s="56" t="s">
        <v>265</v>
      </c>
      <c r="B40" s="56" t="s">
        <v>286</v>
      </c>
      <c r="C40" s="56" t="s">
        <v>287</v>
      </c>
      <c r="D40" s="57" t="s">
        <v>35</v>
      </c>
      <c r="E40" s="58" t="n">
        <v>30240</v>
      </c>
      <c r="F40" s="44" t="n">
        <v>8234.17</v>
      </c>
      <c r="G40" s="59" t="s">
        <v>268</v>
      </c>
      <c r="H40" s="56"/>
      <c r="I40" s="60"/>
      <c r="J40" s="31" t="s">
        <v>288</v>
      </c>
    </row>
    <row r="41" customFormat="false" ht="27.75" hidden="false" customHeight="true" outlineLevel="0" collapsed="false">
      <c r="A41" s="56" t="s">
        <v>144</v>
      </c>
      <c r="B41" s="56" t="s">
        <v>289</v>
      </c>
      <c r="C41" s="56" t="s">
        <v>290</v>
      </c>
      <c r="D41" s="57" t="s">
        <v>120</v>
      </c>
      <c r="E41" s="58" t="n">
        <v>19024.13</v>
      </c>
      <c r="F41" s="44" t="n">
        <v>19024.13</v>
      </c>
      <c r="G41" s="59" t="s">
        <v>268</v>
      </c>
      <c r="H41" s="56"/>
      <c r="I41" s="60"/>
      <c r="J41" s="31" t="s">
        <v>291</v>
      </c>
    </row>
    <row r="42" customFormat="false" ht="27.75" hidden="false" customHeight="true" outlineLevel="0" collapsed="false">
      <c r="A42" s="56" t="s">
        <v>292</v>
      </c>
      <c r="B42" s="56" t="s">
        <v>293</v>
      </c>
      <c r="C42" s="56" t="s">
        <v>294</v>
      </c>
      <c r="D42" s="57" t="s">
        <v>120</v>
      </c>
      <c r="E42" s="58" t="n">
        <v>200000</v>
      </c>
      <c r="F42" s="44" t="n">
        <v>200000</v>
      </c>
      <c r="G42" s="59" t="s">
        <v>268</v>
      </c>
      <c r="H42" s="56"/>
      <c r="I42" s="60"/>
      <c r="J42" s="31" t="s">
        <v>295</v>
      </c>
    </row>
    <row r="43" customFormat="false" ht="27.75" hidden="false" customHeight="true" outlineLevel="0" collapsed="false">
      <c r="A43" s="24" t="s">
        <v>155</v>
      </c>
      <c r="B43" s="24" t="s">
        <v>296</v>
      </c>
      <c r="C43" s="24" t="s">
        <v>297</v>
      </c>
      <c r="D43" s="25" t="s">
        <v>298</v>
      </c>
      <c r="E43" s="26" t="n">
        <v>1980</v>
      </c>
      <c r="F43" s="53" t="n">
        <v>5310.3</v>
      </c>
      <c r="G43" s="54" t="s">
        <v>175</v>
      </c>
      <c r="H43" s="24" t="s">
        <v>155</v>
      </c>
      <c r="I43" s="55"/>
      <c r="J43" s="31" t="s">
        <v>299</v>
      </c>
    </row>
    <row r="44" customFormat="false" ht="27.75" hidden="false" customHeight="true" outlineLevel="0" collapsed="false">
      <c r="A44" s="32"/>
      <c r="B44" s="32"/>
      <c r="C44" s="32"/>
      <c r="D44" s="33"/>
      <c r="E44" s="34"/>
      <c r="F44" s="34"/>
      <c r="G44" s="61"/>
      <c r="H44" s="32"/>
      <c r="I44" s="62"/>
      <c r="J44" s="31"/>
    </row>
    <row r="45" customFormat="false" ht="27.75" hidden="false" customHeight="true" outlineLevel="0" collapsed="false">
      <c r="A45" s="32"/>
      <c r="B45" s="32"/>
      <c r="C45" s="32"/>
      <c r="D45" s="33"/>
      <c r="E45" s="34"/>
      <c r="F45" s="34"/>
      <c r="G45" s="61"/>
      <c r="H45" s="32"/>
      <c r="I45" s="62"/>
      <c r="J45" s="31"/>
    </row>
    <row r="46" customFormat="false" ht="27.75" hidden="false" customHeight="true" outlineLevel="0" collapsed="false">
      <c r="A46" s="32"/>
      <c r="B46" s="32"/>
      <c r="C46" s="32"/>
      <c r="D46" s="33"/>
      <c r="E46" s="34"/>
      <c r="F46" s="34"/>
      <c r="G46" s="61"/>
      <c r="H46" s="32"/>
      <c r="I46" s="62"/>
      <c r="J46" s="31"/>
    </row>
    <row r="47" customFormat="false" ht="27.75" hidden="false" customHeight="true" outlineLevel="0" collapsed="false">
      <c r="A47" s="32"/>
      <c r="B47" s="32"/>
      <c r="C47" s="32"/>
      <c r="D47" s="33"/>
      <c r="E47" s="34"/>
      <c r="F47" s="34"/>
      <c r="G47" s="61"/>
      <c r="H47" s="32"/>
      <c r="I47" s="62"/>
      <c r="J47" s="31"/>
    </row>
    <row r="48" customFormat="false" ht="27.75" hidden="false" customHeight="true" outlineLevel="0" collapsed="false">
      <c r="A48" s="32"/>
      <c r="B48" s="32"/>
      <c r="C48" s="32"/>
      <c r="D48" s="33"/>
      <c r="E48" s="34"/>
      <c r="F48" s="34"/>
      <c r="G48" s="61"/>
      <c r="H48" s="32"/>
      <c r="I48" s="62"/>
      <c r="J48" s="31"/>
    </row>
    <row r="49" customFormat="false" ht="27.75" hidden="false" customHeight="true" outlineLevel="0" collapsed="false">
      <c r="A49" s="32"/>
      <c r="B49" s="32"/>
      <c r="C49" s="32"/>
      <c r="D49" s="33"/>
      <c r="E49" s="34"/>
      <c r="F49" s="34"/>
      <c r="G49" s="61"/>
      <c r="H49" s="32"/>
      <c r="I49" s="62"/>
      <c r="J49" s="31"/>
    </row>
    <row r="50" customFormat="false" ht="27.75" hidden="false" customHeight="true" outlineLevel="0" collapsed="false">
      <c r="A50" s="32"/>
      <c r="B50" s="32"/>
      <c r="C50" s="32"/>
      <c r="D50" s="33"/>
      <c r="E50" s="34"/>
      <c r="F50" s="34"/>
      <c r="G50" s="61"/>
      <c r="H50" s="32"/>
      <c r="I50" s="62"/>
      <c r="J50" s="31"/>
    </row>
    <row r="51" customFormat="false" ht="27.75" hidden="false" customHeight="true" outlineLevel="0" collapsed="false">
      <c r="A51" s="32"/>
      <c r="B51" s="32"/>
      <c r="C51" s="32"/>
      <c r="D51" s="33"/>
      <c r="E51" s="34"/>
      <c r="F51" s="34"/>
      <c r="G51" s="61"/>
      <c r="H51" s="32"/>
      <c r="I51" s="62"/>
      <c r="J51" s="31"/>
    </row>
    <row r="52" customFormat="false" ht="27.75" hidden="false" customHeight="true" outlineLevel="0" collapsed="false">
      <c r="A52" s="32"/>
      <c r="B52" s="32"/>
      <c r="C52" s="32"/>
      <c r="D52" s="33"/>
      <c r="E52" s="34"/>
      <c r="F52" s="34"/>
      <c r="G52" s="61"/>
      <c r="H52" s="32"/>
      <c r="I52" s="62"/>
      <c r="J52" s="31"/>
    </row>
    <row r="53" customFormat="false" ht="27.75" hidden="false" customHeight="true" outlineLevel="0" collapsed="false">
      <c r="A53" s="32"/>
      <c r="B53" s="32"/>
      <c r="C53" s="32"/>
      <c r="D53" s="33"/>
      <c r="E53" s="34"/>
      <c r="F53" s="34"/>
      <c r="G53" s="61"/>
      <c r="H53" s="32"/>
      <c r="I53" s="62"/>
      <c r="J53" s="31"/>
    </row>
    <row r="54" customFormat="false" ht="27.75" hidden="false" customHeight="true" outlineLevel="0" collapsed="false">
      <c r="A54" s="32"/>
      <c r="B54" s="32"/>
      <c r="C54" s="32"/>
      <c r="D54" s="33"/>
      <c r="E54" s="34"/>
      <c r="F54" s="34"/>
      <c r="G54" s="61"/>
      <c r="H54" s="32"/>
      <c r="I54" s="62"/>
      <c r="J54" s="31"/>
    </row>
    <row r="55" customFormat="false" ht="27.75" hidden="false" customHeight="true" outlineLevel="0" collapsed="false">
      <c r="A55" s="32"/>
      <c r="B55" s="32"/>
      <c r="C55" s="32"/>
      <c r="D55" s="33"/>
      <c r="E55" s="34"/>
      <c r="F55" s="34"/>
      <c r="G55" s="61"/>
      <c r="H55" s="32"/>
      <c r="I55" s="62"/>
      <c r="J55" s="31"/>
    </row>
    <row r="56" customFormat="false" ht="27.75" hidden="false" customHeight="true" outlineLevel="0" collapsed="false">
      <c r="A56" s="32"/>
      <c r="B56" s="32"/>
      <c r="C56" s="32"/>
      <c r="D56" s="33"/>
      <c r="E56" s="34"/>
      <c r="F56" s="34"/>
      <c r="G56" s="61"/>
      <c r="H56" s="32"/>
      <c r="I56" s="62"/>
      <c r="J56" s="31"/>
    </row>
    <row r="57" customFormat="false" ht="27.75" hidden="false" customHeight="true" outlineLevel="0" collapsed="false">
      <c r="A57" s="32"/>
      <c r="B57" s="32"/>
      <c r="C57" s="32"/>
      <c r="D57" s="33"/>
      <c r="E57" s="34"/>
      <c r="F57" s="34"/>
      <c r="G57" s="61"/>
      <c r="H57" s="32"/>
      <c r="I57" s="62"/>
      <c r="J57" s="31"/>
    </row>
    <row r="58" customFormat="false" ht="27.75" hidden="false" customHeight="true" outlineLevel="0" collapsed="false">
      <c r="A58" s="32"/>
      <c r="B58" s="32"/>
      <c r="C58" s="32"/>
      <c r="D58" s="33"/>
      <c r="E58" s="34"/>
      <c r="F58" s="34"/>
      <c r="G58" s="61"/>
      <c r="H58" s="32"/>
      <c r="I58" s="62"/>
      <c r="J58" s="31"/>
    </row>
    <row r="59" customFormat="false" ht="27.75" hidden="false" customHeight="true" outlineLevel="0" collapsed="false">
      <c r="A59" s="32"/>
      <c r="B59" s="32"/>
      <c r="C59" s="32"/>
      <c r="D59" s="33"/>
      <c r="E59" s="34"/>
      <c r="F59" s="34"/>
      <c r="G59" s="61"/>
      <c r="H59" s="32"/>
      <c r="I59" s="62"/>
      <c r="J59" s="31"/>
    </row>
    <row r="60" customFormat="false" ht="27.75" hidden="false" customHeight="true" outlineLevel="0" collapsed="false">
      <c r="A60" s="32"/>
      <c r="B60" s="32"/>
      <c r="C60" s="32"/>
      <c r="D60" s="33"/>
      <c r="E60" s="34"/>
      <c r="F60" s="34"/>
      <c r="G60" s="61"/>
      <c r="H60" s="32"/>
      <c r="I60" s="62"/>
      <c r="J60" s="31"/>
    </row>
    <row r="61" customFormat="false" ht="27.75" hidden="false" customHeight="true" outlineLevel="0" collapsed="false">
      <c r="A61" s="32"/>
      <c r="B61" s="32"/>
      <c r="C61" s="32"/>
      <c r="D61" s="33"/>
      <c r="E61" s="34"/>
      <c r="F61" s="34"/>
      <c r="G61" s="61"/>
      <c r="H61" s="32"/>
      <c r="I61" s="62"/>
      <c r="J61" s="31"/>
    </row>
    <row r="62" customFormat="false" ht="27.75" hidden="false" customHeight="true" outlineLevel="0" collapsed="false">
      <c r="A62" s="32"/>
      <c r="B62" s="32"/>
      <c r="C62" s="32"/>
      <c r="D62" s="33"/>
      <c r="E62" s="34"/>
      <c r="F62" s="34"/>
      <c r="G62" s="61"/>
      <c r="H62" s="32"/>
      <c r="I62" s="62"/>
      <c r="J62" s="31"/>
    </row>
    <row r="63" customFormat="false" ht="27.75" hidden="false" customHeight="true" outlineLevel="0" collapsed="false">
      <c r="A63" s="32"/>
      <c r="B63" s="32"/>
      <c r="C63" s="32"/>
      <c r="D63" s="33"/>
      <c r="E63" s="34"/>
      <c r="F63" s="34"/>
      <c r="G63" s="61"/>
      <c r="H63" s="32"/>
      <c r="I63" s="62"/>
      <c r="J63" s="31"/>
    </row>
    <row r="64" customFormat="false" ht="27.75" hidden="false" customHeight="true" outlineLevel="0" collapsed="false">
      <c r="A64" s="32"/>
      <c r="B64" s="32"/>
      <c r="C64" s="32"/>
      <c r="D64" s="33"/>
      <c r="E64" s="34"/>
      <c r="F64" s="34"/>
      <c r="G64" s="61"/>
      <c r="H64" s="32"/>
      <c r="I64" s="62"/>
      <c r="J64" s="31"/>
    </row>
    <row r="65" customFormat="false" ht="27.75" hidden="false" customHeight="true" outlineLevel="0" collapsed="false">
      <c r="A65" s="32"/>
      <c r="B65" s="32"/>
      <c r="C65" s="32"/>
      <c r="D65" s="33"/>
      <c r="E65" s="34"/>
      <c r="F65" s="34"/>
      <c r="G65" s="61"/>
      <c r="H65" s="32"/>
      <c r="I65" s="62"/>
      <c r="J65" s="31"/>
    </row>
    <row r="66" customFormat="false" ht="27.75" hidden="false" customHeight="true" outlineLevel="0" collapsed="false">
      <c r="A66" s="32"/>
      <c r="B66" s="32"/>
      <c r="C66" s="32"/>
      <c r="D66" s="33"/>
      <c r="E66" s="34"/>
      <c r="F66" s="34"/>
      <c r="G66" s="61"/>
      <c r="H66" s="32"/>
      <c r="I66" s="62"/>
      <c r="J66" s="31"/>
    </row>
    <row r="67" customFormat="false" ht="27.75" hidden="false" customHeight="true" outlineLevel="0" collapsed="false">
      <c r="A67" s="32"/>
      <c r="B67" s="32"/>
      <c r="C67" s="32"/>
      <c r="D67" s="33"/>
      <c r="E67" s="34"/>
      <c r="F67" s="34"/>
      <c r="G67" s="61"/>
      <c r="H67" s="32"/>
      <c r="I67" s="62"/>
      <c r="J67" s="31"/>
    </row>
    <row r="68" customFormat="false" ht="27.75" hidden="false" customHeight="true" outlineLevel="0" collapsed="false">
      <c r="A68" s="32"/>
      <c r="B68" s="32"/>
      <c r="C68" s="32"/>
      <c r="D68" s="33"/>
      <c r="E68" s="34"/>
      <c r="F68" s="34"/>
      <c r="G68" s="61"/>
      <c r="H68" s="32"/>
      <c r="I68" s="62"/>
      <c r="J68" s="31"/>
    </row>
    <row r="69" customFormat="false" ht="27.75" hidden="false" customHeight="true" outlineLevel="0" collapsed="false">
      <c r="A69" s="32"/>
      <c r="B69" s="32"/>
      <c r="C69" s="32"/>
      <c r="D69" s="33"/>
      <c r="E69" s="34"/>
      <c r="F69" s="34"/>
      <c r="G69" s="61"/>
      <c r="H69" s="32"/>
      <c r="I69" s="62"/>
      <c r="J69" s="31"/>
    </row>
    <row r="70" customFormat="false" ht="27.75" hidden="false" customHeight="true" outlineLevel="0" collapsed="false">
      <c r="A70" s="32"/>
      <c r="B70" s="32"/>
      <c r="C70" s="32"/>
      <c r="D70" s="33"/>
      <c r="E70" s="34"/>
      <c r="F70" s="34"/>
      <c r="G70" s="61"/>
      <c r="H70" s="32"/>
      <c r="I70" s="62"/>
      <c r="J70" s="31"/>
    </row>
    <row r="71" customFormat="false" ht="27.75" hidden="false" customHeight="true" outlineLevel="0" collapsed="false">
      <c r="A71" s="32"/>
      <c r="B71" s="32"/>
      <c r="C71" s="32"/>
      <c r="D71" s="33"/>
      <c r="E71" s="34"/>
      <c r="F71" s="34"/>
      <c r="G71" s="61"/>
      <c r="H71" s="32"/>
      <c r="I71" s="62"/>
      <c r="J71" s="31"/>
    </row>
    <row r="72" customFormat="false" ht="27.75" hidden="false" customHeight="true" outlineLevel="0" collapsed="false">
      <c r="A72" s="32"/>
      <c r="B72" s="32"/>
      <c r="C72" s="32"/>
      <c r="D72" s="33"/>
      <c r="E72" s="34"/>
      <c r="F72" s="34"/>
      <c r="G72" s="61"/>
      <c r="H72" s="32"/>
      <c r="I72" s="62"/>
      <c r="J72" s="31"/>
    </row>
    <row r="73" customFormat="false" ht="27.75" hidden="false" customHeight="true" outlineLevel="0" collapsed="false">
      <c r="A73" s="32"/>
      <c r="B73" s="32"/>
      <c r="C73" s="32"/>
      <c r="D73" s="33"/>
      <c r="E73" s="34"/>
      <c r="F73" s="34"/>
      <c r="G73" s="61"/>
      <c r="H73" s="32"/>
      <c r="I73" s="62"/>
      <c r="J73" s="31"/>
    </row>
    <row r="74" customFormat="false" ht="27.75" hidden="false" customHeight="true" outlineLevel="0" collapsed="false">
      <c r="A74" s="32"/>
      <c r="B74" s="32"/>
      <c r="C74" s="32"/>
      <c r="D74" s="33"/>
      <c r="E74" s="34"/>
      <c r="F74" s="34"/>
      <c r="G74" s="61"/>
      <c r="H74" s="32"/>
      <c r="I74" s="62"/>
      <c r="J74" s="31"/>
    </row>
    <row r="75" customFormat="false" ht="27.75" hidden="false" customHeight="true" outlineLevel="0" collapsed="false">
      <c r="A75" s="32"/>
      <c r="B75" s="32"/>
      <c r="C75" s="32"/>
      <c r="D75" s="33"/>
      <c r="E75" s="34"/>
      <c r="F75" s="34"/>
      <c r="G75" s="61"/>
      <c r="H75" s="32"/>
      <c r="I75" s="62"/>
      <c r="J75" s="31"/>
    </row>
    <row r="76" customFormat="false" ht="27.75" hidden="false" customHeight="true" outlineLevel="0" collapsed="false">
      <c r="A76" s="32"/>
      <c r="B76" s="32"/>
      <c r="C76" s="32"/>
      <c r="D76" s="33"/>
      <c r="E76" s="34"/>
      <c r="F76" s="34"/>
      <c r="G76" s="61"/>
      <c r="H76" s="32"/>
      <c r="I76" s="62"/>
      <c r="J76" s="31"/>
    </row>
    <row r="77" customFormat="false" ht="27.75" hidden="false" customHeight="true" outlineLevel="0" collapsed="false">
      <c r="A77" s="32"/>
      <c r="B77" s="32"/>
      <c r="C77" s="32"/>
      <c r="D77" s="33"/>
      <c r="E77" s="34"/>
      <c r="F77" s="34"/>
      <c r="G77" s="61"/>
      <c r="H77" s="32"/>
      <c r="I77" s="62"/>
      <c r="J77" s="31"/>
    </row>
    <row r="78" customFormat="false" ht="27.75" hidden="false" customHeight="true" outlineLevel="0" collapsed="false">
      <c r="A78" s="32"/>
      <c r="B78" s="32"/>
      <c r="C78" s="32"/>
      <c r="D78" s="33"/>
      <c r="E78" s="34"/>
      <c r="F78" s="34"/>
      <c r="G78" s="61"/>
      <c r="H78" s="32"/>
      <c r="I78" s="62"/>
      <c r="J78" s="31"/>
    </row>
    <row r="79" customFormat="false" ht="27.75" hidden="false" customHeight="true" outlineLevel="0" collapsed="false">
      <c r="A79" s="32"/>
      <c r="B79" s="32"/>
      <c r="C79" s="32"/>
      <c r="D79" s="33"/>
      <c r="E79" s="34"/>
      <c r="F79" s="34"/>
      <c r="G79" s="61"/>
      <c r="H79" s="32"/>
      <c r="I79" s="62"/>
      <c r="J79" s="31"/>
    </row>
    <row r="80" customFormat="false" ht="27.75" hidden="false" customHeight="true" outlineLevel="0" collapsed="false">
      <c r="A80" s="32"/>
      <c r="B80" s="32"/>
      <c r="C80" s="32"/>
      <c r="D80" s="33"/>
      <c r="E80" s="34"/>
      <c r="F80" s="34"/>
      <c r="G80" s="61"/>
      <c r="H80" s="32"/>
      <c r="I80" s="62"/>
      <c r="J80" s="31"/>
    </row>
    <row r="81" customFormat="false" ht="27.75" hidden="false" customHeight="true" outlineLevel="0" collapsed="false">
      <c r="A81" s="32"/>
      <c r="B81" s="32"/>
      <c r="C81" s="32"/>
      <c r="D81" s="33"/>
      <c r="E81" s="34"/>
      <c r="F81" s="34"/>
      <c r="G81" s="61"/>
      <c r="H81" s="32"/>
      <c r="I81" s="62"/>
      <c r="J81" s="31"/>
    </row>
    <row r="82" customFormat="false" ht="27.75" hidden="false" customHeight="true" outlineLevel="0" collapsed="false">
      <c r="A82" s="32"/>
      <c r="B82" s="32"/>
      <c r="C82" s="32"/>
      <c r="D82" s="33"/>
      <c r="E82" s="34"/>
      <c r="F82" s="34"/>
      <c r="G82" s="61"/>
      <c r="H82" s="32"/>
      <c r="I82" s="62"/>
      <c r="J82" s="31"/>
    </row>
    <row r="83" customFormat="false" ht="27.75" hidden="false" customHeight="true" outlineLevel="0" collapsed="false">
      <c r="A83" s="32"/>
      <c r="B83" s="32"/>
      <c r="C83" s="32"/>
      <c r="D83" s="33"/>
      <c r="E83" s="34"/>
      <c r="F83" s="34"/>
      <c r="G83" s="61"/>
      <c r="H83" s="32"/>
      <c r="I83" s="62"/>
      <c r="J83" s="31"/>
    </row>
    <row r="84" customFormat="false" ht="27.75" hidden="false" customHeight="true" outlineLevel="0" collapsed="false">
      <c r="A84" s="32"/>
      <c r="B84" s="32"/>
      <c r="C84" s="32"/>
      <c r="D84" s="33"/>
      <c r="E84" s="34"/>
      <c r="F84" s="34"/>
      <c r="G84" s="61"/>
      <c r="H84" s="32"/>
      <c r="I84" s="62"/>
      <c r="J84" s="31"/>
    </row>
    <row r="85" customFormat="false" ht="27.75" hidden="false" customHeight="true" outlineLevel="0" collapsed="false">
      <c r="A85" s="32"/>
      <c r="B85" s="32"/>
      <c r="C85" s="32"/>
      <c r="D85" s="33"/>
      <c r="E85" s="34"/>
      <c r="F85" s="34"/>
      <c r="G85" s="61"/>
      <c r="H85" s="32"/>
      <c r="I85" s="62"/>
      <c r="J85" s="31"/>
    </row>
    <row r="86" customFormat="false" ht="27.75" hidden="false" customHeight="true" outlineLevel="0" collapsed="false">
      <c r="A86" s="32"/>
      <c r="B86" s="32"/>
      <c r="C86" s="32"/>
      <c r="D86" s="33"/>
      <c r="E86" s="34"/>
      <c r="F86" s="34"/>
      <c r="G86" s="61"/>
      <c r="H86" s="32"/>
      <c r="I86" s="62"/>
      <c r="J86" s="31"/>
    </row>
    <row r="87" customFormat="false" ht="27.75" hidden="false" customHeight="true" outlineLevel="0" collapsed="false">
      <c r="A87" s="32"/>
      <c r="B87" s="32"/>
      <c r="C87" s="32"/>
      <c r="D87" s="33"/>
      <c r="E87" s="34"/>
      <c r="F87" s="34"/>
      <c r="G87" s="61"/>
      <c r="H87" s="32"/>
      <c r="I87" s="62"/>
      <c r="J87" s="31"/>
    </row>
    <row r="88" customFormat="false" ht="27.75" hidden="false" customHeight="true" outlineLevel="0" collapsed="false">
      <c r="A88" s="32"/>
      <c r="B88" s="32"/>
      <c r="C88" s="32"/>
      <c r="D88" s="33"/>
      <c r="E88" s="34"/>
      <c r="F88" s="34"/>
      <c r="G88" s="61"/>
      <c r="H88" s="32"/>
      <c r="I88" s="62"/>
      <c r="J88" s="31"/>
    </row>
    <row r="89" customFormat="false" ht="27.75" hidden="false" customHeight="true" outlineLevel="0" collapsed="false">
      <c r="A89" s="32"/>
      <c r="B89" s="32"/>
      <c r="C89" s="32"/>
      <c r="D89" s="33"/>
      <c r="E89" s="34"/>
      <c r="F89" s="34"/>
      <c r="G89" s="61"/>
      <c r="H89" s="32"/>
      <c r="I89" s="62"/>
      <c r="J89" s="31"/>
    </row>
    <row r="90" customFormat="false" ht="27.75" hidden="false" customHeight="true" outlineLevel="0" collapsed="false">
      <c r="A90" s="32"/>
      <c r="B90" s="32"/>
      <c r="C90" s="32"/>
      <c r="D90" s="33"/>
      <c r="E90" s="34"/>
      <c r="F90" s="34"/>
      <c r="G90" s="61"/>
      <c r="H90" s="32"/>
      <c r="I90" s="62"/>
      <c r="J90" s="31"/>
    </row>
    <row r="91" customFormat="false" ht="27.75" hidden="false" customHeight="true" outlineLevel="0" collapsed="false">
      <c r="A91" s="32"/>
      <c r="B91" s="32"/>
      <c r="C91" s="32"/>
      <c r="D91" s="33"/>
      <c r="E91" s="34"/>
      <c r="F91" s="34"/>
      <c r="G91" s="61"/>
      <c r="H91" s="32"/>
      <c r="I91" s="62"/>
      <c r="J91" s="31"/>
    </row>
    <row r="92" customFormat="false" ht="27.75" hidden="false" customHeight="true" outlineLevel="0" collapsed="false">
      <c r="A92" s="32"/>
      <c r="B92" s="32"/>
      <c r="C92" s="32"/>
      <c r="D92" s="33"/>
      <c r="E92" s="34"/>
      <c r="F92" s="34"/>
      <c r="G92" s="61"/>
      <c r="H92" s="32"/>
      <c r="I92" s="62"/>
      <c r="J92" s="31"/>
    </row>
    <row r="93" customFormat="false" ht="27.75" hidden="false" customHeight="true" outlineLevel="0" collapsed="false">
      <c r="A93" s="32"/>
      <c r="B93" s="32"/>
      <c r="C93" s="32"/>
      <c r="D93" s="33"/>
      <c r="E93" s="34"/>
      <c r="F93" s="34"/>
      <c r="G93" s="61"/>
      <c r="H93" s="32"/>
      <c r="I93" s="62"/>
      <c r="J93" s="31"/>
    </row>
    <row r="94" customFormat="false" ht="27.75" hidden="false" customHeight="true" outlineLevel="0" collapsed="false">
      <c r="A94" s="32"/>
      <c r="B94" s="32"/>
      <c r="C94" s="32"/>
      <c r="D94" s="33"/>
      <c r="E94" s="34"/>
      <c r="F94" s="34"/>
      <c r="G94" s="61"/>
      <c r="H94" s="32"/>
      <c r="I94" s="62"/>
      <c r="J94" s="31"/>
    </row>
    <row r="95" customFormat="false" ht="27.75" hidden="false" customHeight="true" outlineLevel="0" collapsed="false">
      <c r="A95" s="32"/>
      <c r="B95" s="32"/>
      <c r="C95" s="32"/>
      <c r="D95" s="33"/>
      <c r="E95" s="34"/>
      <c r="F95" s="34"/>
      <c r="G95" s="61"/>
      <c r="H95" s="32"/>
      <c r="I95" s="62"/>
      <c r="J95" s="31"/>
    </row>
    <row r="96" customFormat="false" ht="27.75" hidden="false" customHeight="true" outlineLevel="0" collapsed="false">
      <c r="A96" s="32"/>
      <c r="B96" s="32"/>
      <c r="C96" s="32"/>
      <c r="D96" s="33"/>
      <c r="E96" s="34"/>
      <c r="F96" s="34"/>
      <c r="G96" s="61"/>
      <c r="H96" s="32"/>
      <c r="I96" s="62"/>
      <c r="J96" s="31"/>
    </row>
    <row r="97" customFormat="false" ht="27.75" hidden="false" customHeight="true" outlineLevel="0" collapsed="false">
      <c r="A97" s="32"/>
      <c r="B97" s="32"/>
      <c r="C97" s="32"/>
      <c r="D97" s="33"/>
      <c r="E97" s="34"/>
      <c r="F97" s="34"/>
      <c r="G97" s="61"/>
      <c r="H97" s="32"/>
      <c r="I97" s="62"/>
      <c r="J97" s="31"/>
    </row>
    <row r="98" customFormat="false" ht="27.75" hidden="false" customHeight="true" outlineLevel="0" collapsed="false">
      <c r="A98" s="32"/>
      <c r="B98" s="32"/>
      <c r="C98" s="32"/>
      <c r="D98" s="33"/>
      <c r="E98" s="34"/>
      <c r="F98" s="34"/>
      <c r="G98" s="61"/>
      <c r="H98" s="32"/>
      <c r="I98" s="62"/>
      <c r="J98" s="31"/>
    </row>
    <row r="99" customFormat="false" ht="27.75" hidden="false" customHeight="true" outlineLevel="0" collapsed="false">
      <c r="A99" s="32"/>
      <c r="B99" s="32"/>
      <c r="C99" s="32"/>
      <c r="D99" s="33"/>
      <c r="E99" s="34"/>
      <c r="F99" s="34"/>
      <c r="G99" s="61"/>
      <c r="H99" s="32"/>
      <c r="I99" s="62"/>
      <c r="J99" s="31"/>
    </row>
    <row r="100" customFormat="false" ht="27.75" hidden="false" customHeight="true" outlineLevel="0" collapsed="false">
      <c r="A100" s="32"/>
      <c r="B100" s="32"/>
      <c r="C100" s="32"/>
      <c r="D100" s="33"/>
      <c r="E100" s="34"/>
      <c r="F100" s="34"/>
      <c r="G100" s="61"/>
      <c r="H100" s="32"/>
      <c r="I100" s="62"/>
      <c r="J100" s="31"/>
    </row>
    <row r="101" customFormat="false" ht="27.75" hidden="false" customHeight="true" outlineLevel="0" collapsed="false">
      <c r="A101" s="32"/>
      <c r="B101" s="32"/>
      <c r="C101" s="32"/>
      <c r="D101" s="33"/>
      <c r="E101" s="34"/>
      <c r="F101" s="34"/>
      <c r="G101" s="61"/>
      <c r="H101" s="32"/>
      <c r="I101" s="62"/>
      <c r="J101" s="31"/>
    </row>
    <row r="102" customFormat="false" ht="27.75" hidden="false" customHeight="true" outlineLevel="0" collapsed="false">
      <c r="A102" s="32"/>
      <c r="B102" s="32"/>
      <c r="C102" s="32"/>
      <c r="D102" s="33"/>
      <c r="E102" s="34"/>
      <c r="F102" s="34"/>
      <c r="G102" s="61"/>
      <c r="H102" s="32"/>
      <c r="I102" s="62"/>
      <c r="J102" s="31"/>
    </row>
    <row r="103" customFormat="false" ht="27.75" hidden="false" customHeight="true" outlineLevel="0" collapsed="false">
      <c r="A103" s="32"/>
      <c r="B103" s="32"/>
      <c r="C103" s="32"/>
      <c r="D103" s="33"/>
      <c r="E103" s="34"/>
      <c r="F103" s="34"/>
      <c r="G103" s="61"/>
      <c r="H103" s="32"/>
      <c r="I103" s="62"/>
      <c r="J103" s="31"/>
    </row>
    <row r="104" customFormat="false" ht="27.75" hidden="false" customHeight="true" outlineLevel="0" collapsed="false">
      <c r="A104" s="32"/>
      <c r="B104" s="32"/>
      <c r="C104" s="32"/>
      <c r="D104" s="33"/>
      <c r="E104" s="34"/>
      <c r="F104" s="34"/>
      <c r="G104" s="61"/>
      <c r="H104" s="32"/>
      <c r="I104" s="62"/>
      <c r="J104" s="31"/>
    </row>
    <row r="105" customFormat="false" ht="27.75" hidden="false" customHeight="true" outlineLevel="0" collapsed="false">
      <c r="A105" s="32"/>
      <c r="B105" s="32"/>
      <c r="C105" s="32"/>
      <c r="D105" s="33"/>
      <c r="E105" s="34"/>
      <c r="F105" s="34"/>
      <c r="G105" s="61"/>
      <c r="H105" s="32"/>
      <c r="I105" s="62"/>
      <c r="J105" s="31"/>
    </row>
    <row r="106" customFormat="false" ht="27.75" hidden="false" customHeight="true" outlineLevel="0" collapsed="false">
      <c r="A106" s="32"/>
      <c r="B106" s="32"/>
      <c r="C106" s="32"/>
      <c r="D106" s="33"/>
      <c r="E106" s="34"/>
      <c r="F106" s="34"/>
      <c r="G106" s="61"/>
      <c r="H106" s="32"/>
      <c r="I106" s="62"/>
      <c r="J106" s="31"/>
    </row>
    <row r="107" customFormat="false" ht="27.75" hidden="false" customHeight="true" outlineLevel="0" collapsed="false">
      <c r="A107" s="32"/>
      <c r="B107" s="32"/>
      <c r="C107" s="32"/>
      <c r="D107" s="33"/>
      <c r="E107" s="34"/>
      <c r="F107" s="34"/>
      <c r="G107" s="61"/>
      <c r="H107" s="32"/>
      <c r="I107" s="62"/>
      <c r="J107" s="31"/>
    </row>
    <row r="108" customFormat="false" ht="27.75" hidden="false" customHeight="true" outlineLevel="0" collapsed="false">
      <c r="A108" s="32"/>
      <c r="B108" s="32"/>
      <c r="C108" s="32"/>
      <c r="D108" s="33"/>
      <c r="E108" s="34"/>
      <c r="F108" s="34"/>
      <c r="G108" s="61"/>
      <c r="H108" s="32"/>
      <c r="I108" s="62"/>
      <c r="J108" s="31"/>
    </row>
    <row r="109" customFormat="false" ht="27.75" hidden="false" customHeight="true" outlineLevel="0" collapsed="false">
      <c r="A109" s="32"/>
      <c r="B109" s="32"/>
      <c r="C109" s="32"/>
      <c r="D109" s="33"/>
      <c r="E109" s="34"/>
      <c r="F109" s="34"/>
      <c r="G109" s="61"/>
      <c r="H109" s="32"/>
      <c r="I109" s="62"/>
      <c r="J109" s="31"/>
    </row>
    <row r="110" customFormat="false" ht="27.75" hidden="false" customHeight="true" outlineLevel="0" collapsed="false">
      <c r="A110" s="32"/>
      <c r="B110" s="32"/>
      <c r="C110" s="32"/>
      <c r="D110" s="33"/>
      <c r="E110" s="34"/>
      <c r="F110" s="34"/>
      <c r="G110" s="61"/>
      <c r="H110" s="32"/>
      <c r="I110" s="62"/>
      <c r="J110" s="31"/>
    </row>
    <row r="111" customFormat="false" ht="27.75" hidden="false" customHeight="true" outlineLevel="0" collapsed="false">
      <c r="A111" s="32"/>
      <c r="B111" s="32"/>
      <c r="C111" s="32"/>
      <c r="D111" s="33"/>
      <c r="E111" s="34"/>
      <c r="F111" s="34"/>
      <c r="G111" s="61"/>
      <c r="H111" s="32"/>
      <c r="I111" s="62"/>
      <c r="J111" s="31"/>
    </row>
    <row r="112" customFormat="false" ht="27.75" hidden="false" customHeight="true" outlineLevel="0" collapsed="false">
      <c r="A112" s="32"/>
      <c r="B112" s="32"/>
      <c r="C112" s="32"/>
      <c r="D112" s="33"/>
      <c r="E112" s="34"/>
      <c r="F112" s="34"/>
      <c r="G112" s="61"/>
      <c r="H112" s="32"/>
      <c r="I112" s="62"/>
      <c r="J112" s="31"/>
    </row>
    <row r="113" customFormat="false" ht="27.75" hidden="false" customHeight="true" outlineLevel="0" collapsed="false">
      <c r="A113" s="32"/>
      <c r="B113" s="32"/>
      <c r="C113" s="32"/>
      <c r="D113" s="33"/>
      <c r="E113" s="34"/>
      <c r="F113" s="34"/>
      <c r="G113" s="61"/>
      <c r="H113" s="32"/>
      <c r="I113" s="62"/>
      <c r="J113" s="31"/>
    </row>
    <row r="114" customFormat="false" ht="27.75" hidden="false" customHeight="true" outlineLevel="0" collapsed="false">
      <c r="A114" s="32"/>
      <c r="B114" s="32"/>
      <c r="C114" s="32"/>
      <c r="D114" s="33"/>
      <c r="E114" s="34"/>
      <c r="F114" s="34"/>
      <c r="G114" s="61"/>
      <c r="H114" s="32"/>
      <c r="I114" s="62"/>
      <c r="J114" s="31"/>
    </row>
    <row r="115" customFormat="false" ht="27.75" hidden="false" customHeight="true" outlineLevel="0" collapsed="false">
      <c r="A115" s="32"/>
      <c r="B115" s="32"/>
      <c r="C115" s="32"/>
      <c r="D115" s="33"/>
      <c r="E115" s="34"/>
      <c r="F115" s="34"/>
      <c r="G115" s="61"/>
      <c r="H115" s="32"/>
      <c r="I115" s="62"/>
      <c r="J115" s="31"/>
    </row>
    <row r="116" customFormat="false" ht="27.75" hidden="false" customHeight="true" outlineLevel="0" collapsed="false">
      <c r="A116" s="32"/>
      <c r="B116" s="32"/>
      <c r="C116" s="32"/>
      <c r="D116" s="33"/>
      <c r="E116" s="34"/>
      <c r="F116" s="34"/>
      <c r="G116" s="61"/>
      <c r="H116" s="32"/>
      <c r="I116" s="62"/>
      <c r="J116" s="31"/>
    </row>
    <row r="117" customFormat="false" ht="27.75" hidden="false" customHeight="true" outlineLevel="0" collapsed="false">
      <c r="A117" s="32"/>
      <c r="B117" s="32"/>
      <c r="C117" s="32"/>
      <c r="D117" s="33"/>
      <c r="E117" s="34"/>
      <c r="F117" s="34"/>
      <c r="G117" s="61"/>
      <c r="H117" s="32"/>
      <c r="I117" s="62"/>
      <c r="J117" s="31"/>
    </row>
    <row r="118" customFormat="false" ht="27.75" hidden="false" customHeight="true" outlineLevel="0" collapsed="false">
      <c r="A118" s="32"/>
      <c r="B118" s="32"/>
      <c r="C118" s="32"/>
      <c r="D118" s="33"/>
      <c r="E118" s="34"/>
      <c r="F118" s="34"/>
      <c r="G118" s="61"/>
      <c r="H118" s="32"/>
      <c r="I118" s="62"/>
      <c r="J118" s="31"/>
    </row>
    <row r="119" customFormat="false" ht="27.75" hidden="false" customHeight="true" outlineLevel="0" collapsed="false">
      <c r="A119" s="32"/>
      <c r="B119" s="32"/>
      <c r="C119" s="32"/>
      <c r="D119" s="33"/>
      <c r="E119" s="34"/>
      <c r="F119" s="34"/>
      <c r="G119" s="61"/>
      <c r="H119" s="32"/>
      <c r="I119" s="62"/>
      <c r="J119" s="31"/>
    </row>
    <row r="120" customFormat="false" ht="27.75" hidden="false" customHeight="true" outlineLevel="0" collapsed="false">
      <c r="A120" s="32"/>
      <c r="B120" s="32"/>
      <c r="C120" s="32"/>
      <c r="D120" s="33"/>
      <c r="E120" s="34"/>
      <c r="F120" s="34"/>
      <c r="G120" s="61"/>
      <c r="H120" s="32"/>
      <c r="I120" s="62"/>
      <c r="J120" s="31"/>
    </row>
    <row r="121" customFormat="false" ht="27.75" hidden="false" customHeight="true" outlineLevel="0" collapsed="false">
      <c r="A121" s="32"/>
      <c r="B121" s="32"/>
      <c r="C121" s="32"/>
      <c r="D121" s="33"/>
      <c r="E121" s="34"/>
      <c r="F121" s="34"/>
      <c r="G121" s="61"/>
      <c r="H121" s="32"/>
      <c r="I121" s="62"/>
      <c r="J121" s="31"/>
    </row>
    <row r="122" customFormat="false" ht="27.75" hidden="false" customHeight="true" outlineLevel="0" collapsed="false">
      <c r="A122" s="32"/>
      <c r="B122" s="32"/>
      <c r="C122" s="32"/>
      <c r="D122" s="33"/>
      <c r="E122" s="34"/>
      <c r="F122" s="34"/>
      <c r="G122" s="61"/>
      <c r="H122" s="32"/>
      <c r="I122" s="62"/>
      <c r="J122" s="31"/>
    </row>
    <row r="123" customFormat="false" ht="27.75" hidden="false" customHeight="true" outlineLevel="0" collapsed="false">
      <c r="A123" s="32"/>
      <c r="B123" s="32"/>
      <c r="C123" s="32"/>
      <c r="D123" s="33"/>
      <c r="E123" s="34"/>
      <c r="F123" s="34"/>
      <c r="G123" s="61"/>
      <c r="H123" s="32"/>
      <c r="I123" s="62"/>
      <c r="J123" s="31"/>
    </row>
    <row r="124" customFormat="false" ht="27.75" hidden="false" customHeight="true" outlineLevel="0" collapsed="false">
      <c r="A124" s="32"/>
      <c r="B124" s="32"/>
      <c r="C124" s="32"/>
      <c r="D124" s="33"/>
      <c r="E124" s="34"/>
      <c r="F124" s="34"/>
      <c r="G124" s="61"/>
      <c r="H124" s="32"/>
      <c r="I124" s="62"/>
      <c r="J124" s="31"/>
    </row>
    <row r="125" customFormat="false" ht="27.75" hidden="false" customHeight="true" outlineLevel="0" collapsed="false">
      <c r="A125" s="32"/>
      <c r="B125" s="32"/>
      <c r="C125" s="32"/>
      <c r="D125" s="33"/>
      <c r="E125" s="34"/>
      <c r="F125" s="34"/>
      <c r="G125" s="61"/>
      <c r="H125" s="32"/>
      <c r="I125" s="62"/>
      <c r="J125" s="31"/>
    </row>
    <row r="126" customFormat="false" ht="27.75" hidden="false" customHeight="true" outlineLevel="0" collapsed="false">
      <c r="A126" s="32"/>
      <c r="B126" s="32"/>
      <c r="C126" s="32"/>
      <c r="D126" s="33"/>
      <c r="E126" s="34"/>
      <c r="F126" s="34"/>
      <c r="G126" s="61"/>
      <c r="H126" s="32"/>
      <c r="I126" s="62"/>
      <c r="J126" s="31"/>
    </row>
    <row r="127" customFormat="false" ht="27.75" hidden="false" customHeight="true" outlineLevel="0" collapsed="false">
      <c r="A127" s="32"/>
      <c r="B127" s="32"/>
      <c r="C127" s="32"/>
      <c r="D127" s="33"/>
      <c r="E127" s="34"/>
      <c r="F127" s="34"/>
      <c r="G127" s="61"/>
      <c r="H127" s="32"/>
      <c r="I127" s="62"/>
      <c r="J127" s="31"/>
    </row>
    <row r="128" customFormat="false" ht="27.75" hidden="false" customHeight="true" outlineLevel="0" collapsed="false">
      <c r="A128" s="32"/>
      <c r="B128" s="32"/>
      <c r="C128" s="32"/>
      <c r="D128" s="33"/>
      <c r="E128" s="34"/>
      <c r="F128" s="34"/>
      <c r="G128" s="61"/>
      <c r="H128" s="32"/>
      <c r="I128" s="62"/>
      <c r="J128" s="31"/>
    </row>
    <row r="129" customFormat="false" ht="27.75" hidden="false" customHeight="true" outlineLevel="0" collapsed="false">
      <c r="A129" s="32"/>
      <c r="B129" s="32"/>
      <c r="C129" s="32"/>
      <c r="D129" s="33"/>
      <c r="E129" s="34"/>
      <c r="F129" s="34"/>
      <c r="G129" s="61"/>
      <c r="H129" s="32"/>
      <c r="I129" s="62"/>
      <c r="J129" s="31"/>
    </row>
    <row r="130" customFormat="false" ht="27.75" hidden="false" customHeight="true" outlineLevel="0" collapsed="false">
      <c r="A130" s="32"/>
      <c r="B130" s="32"/>
      <c r="C130" s="32"/>
      <c r="D130" s="33"/>
      <c r="E130" s="34"/>
      <c r="F130" s="34"/>
      <c r="G130" s="61"/>
      <c r="H130" s="32"/>
      <c r="I130" s="62"/>
      <c r="J130" s="31"/>
    </row>
    <row r="131" customFormat="false" ht="27.75" hidden="false" customHeight="true" outlineLevel="0" collapsed="false">
      <c r="A131" s="32"/>
      <c r="B131" s="32"/>
      <c r="C131" s="32"/>
      <c r="D131" s="33"/>
      <c r="E131" s="34"/>
      <c r="F131" s="34"/>
      <c r="G131" s="61"/>
      <c r="H131" s="32"/>
      <c r="I131" s="62"/>
      <c r="J131" s="31"/>
    </row>
    <row r="132" customFormat="false" ht="27.75" hidden="false" customHeight="true" outlineLevel="0" collapsed="false">
      <c r="A132" s="32"/>
      <c r="B132" s="32"/>
      <c r="C132" s="32"/>
      <c r="D132" s="33"/>
      <c r="E132" s="34"/>
      <c r="F132" s="34"/>
      <c r="G132" s="61"/>
      <c r="H132" s="32"/>
      <c r="I132" s="62"/>
      <c r="J132" s="31"/>
    </row>
    <row r="133" customFormat="false" ht="27.75" hidden="false" customHeight="true" outlineLevel="0" collapsed="false">
      <c r="A133" s="32"/>
      <c r="B133" s="32"/>
      <c r="C133" s="32"/>
      <c r="D133" s="33"/>
      <c r="E133" s="34"/>
      <c r="F133" s="34"/>
      <c r="G133" s="61"/>
      <c r="H133" s="32"/>
      <c r="I133" s="62"/>
      <c r="J133" s="31"/>
    </row>
    <row r="134" customFormat="false" ht="27.75" hidden="false" customHeight="true" outlineLevel="0" collapsed="false">
      <c r="A134" s="32"/>
      <c r="B134" s="32"/>
      <c r="C134" s="32"/>
      <c r="D134" s="33"/>
      <c r="E134" s="34"/>
      <c r="F134" s="34"/>
      <c r="G134" s="61"/>
      <c r="H134" s="32"/>
      <c r="I134" s="62"/>
      <c r="J134" s="31"/>
    </row>
    <row r="135" customFormat="false" ht="27.75" hidden="false" customHeight="true" outlineLevel="0" collapsed="false">
      <c r="A135" s="32"/>
      <c r="B135" s="32"/>
      <c r="C135" s="32"/>
      <c r="D135" s="33"/>
      <c r="E135" s="34"/>
      <c r="F135" s="34"/>
      <c r="G135" s="61"/>
      <c r="H135" s="32"/>
      <c r="I135" s="62"/>
      <c r="J135" s="31"/>
    </row>
    <row r="136" customFormat="false" ht="27.75" hidden="false" customHeight="true" outlineLevel="0" collapsed="false">
      <c r="A136" s="32"/>
      <c r="B136" s="32"/>
      <c r="C136" s="32"/>
      <c r="D136" s="33"/>
      <c r="E136" s="34"/>
      <c r="F136" s="34"/>
      <c r="G136" s="61"/>
      <c r="H136" s="32"/>
      <c r="I136" s="62"/>
      <c r="J136" s="31"/>
    </row>
    <row r="137" customFormat="false" ht="27.75" hidden="false" customHeight="true" outlineLevel="0" collapsed="false">
      <c r="A137" s="32"/>
      <c r="B137" s="32"/>
      <c r="C137" s="32"/>
      <c r="D137" s="33"/>
      <c r="E137" s="34"/>
      <c r="F137" s="34"/>
      <c r="G137" s="61"/>
      <c r="H137" s="32"/>
      <c r="I137" s="62"/>
      <c r="J137" s="31"/>
    </row>
    <row r="138" customFormat="false" ht="27.75" hidden="false" customHeight="true" outlineLevel="0" collapsed="false">
      <c r="A138" s="32"/>
      <c r="B138" s="32"/>
      <c r="C138" s="32"/>
      <c r="D138" s="33"/>
      <c r="E138" s="34"/>
      <c r="F138" s="34"/>
      <c r="G138" s="61"/>
      <c r="H138" s="32"/>
      <c r="I138" s="62"/>
      <c r="J138" s="31"/>
    </row>
    <row r="139" customFormat="false" ht="27.75" hidden="false" customHeight="true" outlineLevel="0" collapsed="false">
      <c r="A139" s="32"/>
      <c r="B139" s="32"/>
      <c r="C139" s="32"/>
      <c r="D139" s="33"/>
      <c r="E139" s="34"/>
      <c r="F139" s="34"/>
      <c r="G139" s="61"/>
      <c r="H139" s="32"/>
      <c r="I139" s="62"/>
      <c r="J139" s="31"/>
    </row>
    <row r="140" customFormat="false" ht="27.75" hidden="false" customHeight="true" outlineLevel="0" collapsed="false">
      <c r="A140" s="32"/>
      <c r="B140" s="32"/>
      <c r="C140" s="32"/>
      <c r="D140" s="33"/>
      <c r="E140" s="34"/>
      <c r="F140" s="34"/>
      <c r="G140" s="61"/>
      <c r="H140" s="32"/>
      <c r="I140" s="62"/>
      <c r="J140" s="31"/>
    </row>
    <row r="141" customFormat="false" ht="27.75" hidden="false" customHeight="true" outlineLevel="0" collapsed="false">
      <c r="A141" s="32"/>
      <c r="B141" s="32"/>
      <c r="C141" s="32"/>
      <c r="D141" s="33"/>
      <c r="E141" s="34"/>
      <c r="F141" s="34"/>
      <c r="G141" s="61"/>
      <c r="H141" s="32"/>
      <c r="I141" s="62"/>
      <c r="J141" s="31"/>
    </row>
    <row r="142" customFormat="false" ht="27.75" hidden="false" customHeight="true" outlineLevel="0" collapsed="false">
      <c r="A142" s="32"/>
      <c r="B142" s="32"/>
      <c r="C142" s="32"/>
      <c r="D142" s="33"/>
      <c r="E142" s="34"/>
      <c r="F142" s="34"/>
      <c r="G142" s="61"/>
      <c r="H142" s="32"/>
      <c r="I142" s="62"/>
      <c r="J142" s="31"/>
    </row>
    <row r="143" customFormat="false" ht="27.75" hidden="false" customHeight="true" outlineLevel="0" collapsed="false">
      <c r="A143" s="32"/>
      <c r="B143" s="32"/>
      <c r="C143" s="32"/>
      <c r="D143" s="33"/>
      <c r="E143" s="34"/>
      <c r="F143" s="34"/>
      <c r="G143" s="61"/>
      <c r="H143" s="32"/>
      <c r="I143" s="62"/>
      <c r="J143" s="31"/>
    </row>
    <row r="144" customFormat="false" ht="27.75" hidden="false" customHeight="true" outlineLevel="0" collapsed="false">
      <c r="A144" s="32"/>
      <c r="B144" s="32"/>
      <c r="C144" s="32"/>
      <c r="D144" s="33"/>
      <c r="E144" s="34"/>
      <c r="F144" s="34"/>
      <c r="G144" s="61"/>
      <c r="H144" s="32"/>
      <c r="I144" s="62"/>
      <c r="J144" s="31"/>
    </row>
    <row r="145" customFormat="false" ht="27.75" hidden="false" customHeight="true" outlineLevel="0" collapsed="false">
      <c r="A145" s="32"/>
      <c r="B145" s="32"/>
      <c r="C145" s="32"/>
      <c r="D145" s="33"/>
      <c r="E145" s="34"/>
      <c r="F145" s="34"/>
      <c r="G145" s="61"/>
      <c r="H145" s="32"/>
      <c r="I145" s="62"/>
      <c r="J145" s="31"/>
    </row>
    <row r="146" customFormat="false" ht="27.75" hidden="false" customHeight="true" outlineLevel="0" collapsed="false">
      <c r="A146" s="32"/>
      <c r="B146" s="32"/>
      <c r="C146" s="32"/>
      <c r="D146" s="33"/>
      <c r="E146" s="34"/>
      <c r="F146" s="34"/>
      <c r="G146" s="61"/>
      <c r="H146" s="32"/>
      <c r="I146" s="62"/>
      <c r="J146" s="31"/>
    </row>
    <row r="147" customFormat="false" ht="27.75" hidden="false" customHeight="true" outlineLevel="0" collapsed="false">
      <c r="A147" s="32"/>
      <c r="B147" s="32"/>
      <c r="C147" s="32"/>
      <c r="D147" s="33"/>
      <c r="E147" s="34"/>
      <c r="F147" s="34"/>
      <c r="G147" s="61"/>
      <c r="H147" s="32"/>
      <c r="I147" s="62"/>
      <c r="J147" s="31"/>
    </row>
    <row r="148" customFormat="false" ht="27.75" hidden="false" customHeight="true" outlineLevel="0" collapsed="false">
      <c r="A148" s="32"/>
      <c r="B148" s="32"/>
      <c r="C148" s="32"/>
      <c r="D148" s="33"/>
      <c r="E148" s="34"/>
      <c r="F148" s="34"/>
      <c r="G148" s="61"/>
      <c r="H148" s="32"/>
      <c r="I148" s="62"/>
      <c r="J148" s="31"/>
    </row>
    <row r="149" customFormat="false" ht="27.75" hidden="false" customHeight="true" outlineLevel="0" collapsed="false">
      <c r="A149" s="32"/>
      <c r="B149" s="32"/>
      <c r="C149" s="32"/>
      <c r="D149" s="33"/>
      <c r="E149" s="34"/>
      <c r="F149" s="34"/>
      <c r="G149" s="61"/>
      <c r="H149" s="32"/>
      <c r="I149" s="62"/>
      <c r="J149" s="31"/>
    </row>
    <row r="150" customFormat="false" ht="27.75" hidden="false" customHeight="true" outlineLevel="0" collapsed="false">
      <c r="A150" s="32"/>
      <c r="B150" s="32"/>
      <c r="C150" s="32"/>
      <c r="D150" s="33"/>
      <c r="E150" s="34"/>
      <c r="F150" s="34"/>
      <c r="G150" s="61"/>
      <c r="H150" s="32"/>
      <c r="I150" s="62"/>
      <c r="J150" s="31"/>
    </row>
    <row r="151" customFormat="false" ht="27.75" hidden="false" customHeight="true" outlineLevel="0" collapsed="false">
      <c r="A151" s="32"/>
      <c r="B151" s="32"/>
      <c r="C151" s="32"/>
      <c r="D151" s="33"/>
      <c r="E151" s="34"/>
      <c r="F151" s="34"/>
      <c r="G151" s="61"/>
      <c r="H151" s="32"/>
      <c r="I151" s="62"/>
      <c r="J151" s="31"/>
    </row>
    <row r="152" customFormat="false" ht="27.75" hidden="false" customHeight="true" outlineLevel="0" collapsed="false">
      <c r="A152" s="32"/>
      <c r="B152" s="32"/>
      <c r="C152" s="32"/>
      <c r="D152" s="33"/>
      <c r="E152" s="34"/>
      <c r="F152" s="34"/>
      <c r="G152" s="61"/>
      <c r="H152" s="32"/>
      <c r="I152" s="62"/>
      <c r="J152" s="31"/>
    </row>
    <row r="153" customFormat="false" ht="27.75" hidden="false" customHeight="true" outlineLevel="0" collapsed="false">
      <c r="A153" s="32"/>
      <c r="B153" s="32"/>
      <c r="C153" s="32"/>
      <c r="D153" s="33"/>
      <c r="E153" s="34"/>
      <c r="F153" s="34"/>
      <c r="G153" s="61"/>
      <c r="H153" s="32"/>
      <c r="I153" s="62"/>
      <c r="J153" s="31"/>
    </row>
    <row r="154" customFormat="false" ht="27.75" hidden="false" customHeight="true" outlineLevel="0" collapsed="false">
      <c r="A154" s="32"/>
      <c r="B154" s="32"/>
      <c r="C154" s="32"/>
      <c r="D154" s="33"/>
      <c r="E154" s="34"/>
      <c r="F154" s="34"/>
      <c r="G154" s="61"/>
      <c r="H154" s="32"/>
      <c r="I154" s="62"/>
      <c r="J154" s="31"/>
    </row>
    <row r="155" customFormat="false" ht="27.75" hidden="false" customHeight="true" outlineLevel="0" collapsed="false">
      <c r="A155" s="32"/>
      <c r="B155" s="32"/>
      <c r="C155" s="32"/>
      <c r="D155" s="33"/>
      <c r="E155" s="34"/>
      <c r="F155" s="34"/>
      <c r="G155" s="61"/>
      <c r="H155" s="32"/>
      <c r="I155" s="62"/>
      <c r="J155" s="31"/>
    </row>
    <row r="156" customFormat="false" ht="27.75" hidden="false" customHeight="true" outlineLevel="0" collapsed="false">
      <c r="A156" s="32"/>
      <c r="B156" s="32"/>
      <c r="C156" s="32"/>
      <c r="D156" s="33"/>
      <c r="E156" s="34"/>
      <c r="F156" s="34"/>
      <c r="G156" s="61"/>
      <c r="H156" s="32"/>
      <c r="I156" s="62"/>
      <c r="J156" s="31"/>
    </row>
    <row r="157" customFormat="false" ht="27.75" hidden="false" customHeight="true" outlineLevel="0" collapsed="false">
      <c r="A157" s="32"/>
      <c r="B157" s="32"/>
      <c r="C157" s="32"/>
      <c r="D157" s="33"/>
      <c r="E157" s="34"/>
      <c r="F157" s="34"/>
      <c r="G157" s="61"/>
      <c r="H157" s="32"/>
      <c r="I157" s="62"/>
      <c r="J157" s="31"/>
    </row>
    <row r="158" customFormat="false" ht="27.75" hidden="false" customHeight="true" outlineLevel="0" collapsed="false">
      <c r="A158" s="32"/>
      <c r="B158" s="32"/>
      <c r="C158" s="32"/>
      <c r="D158" s="33"/>
      <c r="E158" s="34"/>
      <c r="F158" s="34"/>
      <c r="G158" s="61"/>
      <c r="H158" s="32"/>
      <c r="I158" s="62"/>
      <c r="J158" s="31"/>
    </row>
    <row r="159" customFormat="false" ht="27.75" hidden="false" customHeight="true" outlineLevel="0" collapsed="false">
      <c r="A159" s="32"/>
      <c r="B159" s="32"/>
      <c r="C159" s="32"/>
      <c r="D159" s="33"/>
      <c r="E159" s="34"/>
      <c r="F159" s="34"/>
      <c r="G159" s="61"/>
      <c r="H159" s="32"/>
      <c r="I159" s="62"/>
      <c r="J159" s="31"/>
    </row>
    <row r="160" customFormat="false" ht="27.75" hidden="false" customHeight="true" outlineLevel="0" collapsed="false">
      <c r="A160" s="32"/>
      <c r="B160" s="32"/>
      <c r="C160" s="32"/>
      <c r="D160" s="33"/>
      <c r="E160" s="34"/>
      <c r="F160" s="34"/>
      <c r="G160" s="61"/>
      <c r="H160" s="32"/>
      <c r="I160" s="62"/>
      <c r="J160" s="31"/>
    </row>
    <row r="161" customFormat="false" ht="27.75" hidden="false" customHeight="true" outlineLevel="0" collapsed="false">
      <c r="A161" s="32"/>
      <c r="B161" s="32"/>
      <c r="C161" s="32"/>
      <c r="D161" s="33"/>
      <c r="E161" s="34"/>
      <c r="F161" s="34"/>
      <c r="G161" s="61"/>
      <c r="H161" s="32"/>
      <c r="I161" s="62"/>
      <c r="J161" s="31"/>
    </row>
    <row r="162" customFormat="false" ht="27.75" hidden="false" customHeight="true" outlineLevel="0" collapsed="false">
      <c r="A162" s="32"/>
      <c r="B162" s="32"/>
      <c r="C162" s="32"/>
      <c r="D162" s="33"/>
      <c r="E162" s="34"/>
      <c r="F162" s="34"/>
      <c r="G162" s="61"/>
      <c r="H162" s="32"/>
      <c r="I162" s="62"/>
      <c r="J162" s="31"/>
    </row>
    <row r="163" customFormat="false" ht="27.75" hidden="false" customHeight="true" outlineLevel="0" collapsed="false">
      <c r="A163" s="32"/>
      <c r="B163" s="32"/>
      <c r="C163" s="32"/>
      <c r="D163" s="33"/>
      <c r="E163" s="34"/>
      <c r="F163" s="34"/>
      <c r="G163" s="61"/>
      <c r="H163" s="32"/>
      <c r="I163" s="62"/>
      <c r="J163" s="31"/>
    </row>
    <row r="164" customFormat="false" ht="27.75" hidden="false" customHeight="true" outlineLevel="0" collapsed="false">
      <c r="A164" s="32"/>
      <c r="B164" s="32"/>
      <c r="C164" s="32"/>
      <c r="D164" s="33"/>
      <c r="E164" s="34"/>
      <c r="F164" s="34"/>
      <c r="G164" s="61"/>
      <c r="H164" s="32"/>
      <c r="I164" s="62"/>
      <c r="J164" s="31"/>
    </row>
    <row r="165" customFormat="false" ht="27.75" hidden="false" customHeight="true" outlineLevel="0" collapsed="false">
      <c r="A165" s="32"/>
      <c r="B165" s="32"/>
      <c r="C165" s="32"/>
      <c r="D165" s="33"/>
      <c r="E165" s="34"/>
      <c r="F165" s="34"/>
      <c r="G165" s="61"/>
      <c r="H165" s="32"/>
      <c r="I165" s="62"/>
      <c r="J165" s="31"/>
    </row>
    <row r="166" customFormat="false" ht="27.75" hidden="false" customHeight="true" outlineLevel="0" collapsed="false">
      <c r="A166" s="32"/>
      <c r="B166" s="32"/>
      <c r="C166" s="32"/>
      <c r="D166" s="33"/>
      <c r="E166" s="34"/>
      <c r="F166" s="34"/>
      <c r="G166" s="61"/>
      <c r="H166" s="32"/>
      <c r="I166" s="62"/>
      <c r="J166" s="31"/>
    </row>
    <row r="167" customFormat="false" ht="27.75" hidden="false" customHeight="true" outlineLevel="0" collapsed="false">
      <c r="A167" s="32"/>
      <c r="B167" s="32"/>
      <c r="C167" s="32"/>
      <c r="D167" s="33"/>
      <c r="E167" s="34"/>
      <c r="F167" s="34"/>
      <c r="G167" s="61"/>
      <c r="H167" s="32"/>
      <c r="I167" s="62"/>
      <c r="J167" s="31"/>
    </row>
    <row r="168" customFormat="false" ht="27.75" hidden="false" customHeight="true" outlineLevel="0" collapsed="false">
      <c r="A168" s="32"/>
      <c r="B168" s="32"/>
      <c r="C168" s="32"/>
      <c r="D168" s="33"/>
      <c r="E168" s="34"/>
      <c r="F168" s="34"/>
      <c r="G168" s="61"/>
      <c r="H168" s="32"/>
      <c r="I168" s="62"/>
      <c r="J168" s="31"/>
    </row>
    <row r="169" customFormat="false" ht="27.75" hidden="false" customHeight="true" outlineLevel="0" collapsed="false">
      <c r="A169" s="32"/>
      <c r="B169" s="32"/>
      <c r="C169" s="32"/>
      <c r="D169" s="33"/>
      <c r="E169" s="34"/>
      <c r="F169" s="34"/>
      <c r="G169" s="61"/>
      <c r="H169" s="32"/>
      <c r="I169" s="62"/>
      <c r="J169" s="31"/>
    </row>
    <row r="170" customFormat="false" ht="27.75" hidden="false" customHeight="true" outlineLevel="0" collapsed="false">
      <c r="A170" s="32"/>
      <c r="B170" s="32"/>
      <c r="C170" s="32"/>
      <c r="D170" s="33"/>
      <c r="E170" s="34"/>
      <c r="F170" s="34"/>
      <c r="G170" s="61"/>
      <c r="H170" s="32"/>
      <c r="I170" s="62"/>
      <c r="J170" s="31"/>
    </row>
    <row r="171" customFormat="false" ht="27.75" hidden="false" customHeight="true" outlineLevel="0" collapsed="false">
      <c r="A171" s="32"/>
      <c r="B171" s="32"/>
      <c r="C171" s="32"/>
      <c r="D171" s="33"/>
      <c r="E171" s="34"/>
      <c r="F171" s="34"/>
      <c r="G171" s="61"/>
      <c r="H171" s="32"/>
      <c r="I171" s="62"/>
      <c r="J171" s="31"/>
    </row>
    <row r="172" customFormat="false" ht="27.75" hidden="false" customHeight="true" outlineLevel="0" collapsed="false">
      <c r="A172" s="32"/>
      <c r="B172" s="32"/>
      <c r="C172" s="32"/>
      <c r="D172" s="33"/>
      <c r="E172" s="34"/>
      <c r="F172" s="34"/>
      <c r="G172" s="61"/>
      <c r="H172" s="32"/>
      <c r="I172" s="62"/>
      <c r="J172" s="31"/>
    </row>
    <row r="173" customFormat="false" ht="27.75" hidden="false" customHeight="true" outlineLevel="0" collapsed="false">
      <c r="A173" s="32"/>
      <c r="B173" s="32"/>
      <c r="C173" s="32"/>
      <c r="D173" s="33"/>
      <c r="E173" s="34"/>
      <c r="F173" s="34"/>
      <c r="G173" s="61"/>
      <c r="H173" s="32"/>
      <c r="I173" s="62"/>
      <c r="J173" s="31"/>
    </row>
    <row r="174" customFormat="false" ht="27.75" hidden="false" customHeight="true" outlineLevel="0" collapsed="false">
      <c r="A174" s="32"/>
      <c r="B174" s="32"/>
      <c r="C174" s="32"/>
      <c r="D174" s="33"/>
      <c r="E174" s="34"/>
      <c r="F174" s="34"/>
      <c r="G174" s="61"/>
      <c r="H174" s="32"/>
      <c r="I174" s="62"/>
      <c r="J174" s="31"/>
    </row>
    <row r="175" customFormat="false" ht="27.75" hidden="false" customHeight="true" outlineLevel="0" collapsed="false">
      <c r="A175" s="32"/>
      <c r="B175" s="32"/>
      <c r="C175" s="32"/>
      <c r="D175" s="33"/>
      <c r="E175" s="34"/>
      <c r="F175" s="34"/>
      <c r="G175" s="61"/>
      <c r="H175" s="32"/>
      <c r="I175" s="62"/>
      <c r="J175" s="31"/>
    </row>
    <row r="176" customFormat="false" ht="27.75" hidden="false" customHeight="true" outlineLevel="0" collapsed="false">
      <c r="A176" s="32"/>
      <c r="B176" s="32"/>
      <c r="C176" s="32"/>
      <c r="D176" s="33"/>
      <c r="E176" s="34"/>
      <c r="F176" s="34"/>
      <c r="G176" s="61"/>
      <c r="H176" s="32"/>
      <c r="I176" s="62"/>
      <c r="J176" s="31"/>
    </row>
    <row r="177" customFormat="false" ht="27.75" hidden="false" customHeight="true" outlineLevel="0" collapsed="false">
      <c r="A177" s="32"/>
      <c r="B177" s="32"/>
      <c r="C177" s="32"/>
      <c r="D177" s="33"/>
      <c r="E177" s="34"/>
      <c r="F177" s="34"/>
      <c r="G177" s="61"/>
      <c r="H177" s="32"/>
      <c r="I177" s="62"/>
      <c r="J177" s="31"/>
    </row>
    <row r="178" customFormat="false" ht="27.75" hidden="false" customHeight="true" outlineLevel="0" collapsed="false">
      <c r="A178" s="32"/>
      <c r="B178" s="32"/>
      <c r="C178" s="32"/>
      <c r="D178" s="33"/>
      <c r="E178" s="34"/>
      <c r="F178" s="34"/>
      <c r="G178" s="61"/>
      <c r="H178" s="32"/>
      <c r="I178" s="62"/>
      <c r="J178" s="31"/>
    </row>
    <row r="179" customFormat="false" ht="27.75" hidden="false" customHeight="true" outlineLevel="0" collapsed="false">
      <c r="A179" s="32"/>
      <c r="B179" s="32"/>
      <c r="C179" s="32"/>
      <c r="D179" s="33"/>
      <c r="E179" s="34"/>
      <c r="F179" s="34"/>
      <c r="G179" s="61"/>
      <c r="H179" s="32"/>
      <c r="I179" s="62"/>
      <c r="J179" s="31"/>
    </row>
    <row r="180" customFormat="false" ht="27.75" hidden="false" customHeight="true" outlineLevel="0" collapsed="false">
      <c r="A180" s="32"/>
      <c r="B180" s="32"/>
      <c r="C180" s="32"/>
      <c r="D180" s="33"/>
      <c r="E180" s="34"/>
      <c r="F180" s="34"/>
      <c r="G180" s="61"/>
      <c r="H180" s="32"/>
      <c r="I180" s="62"/>
      <c r="J180" s="31"/>
    </row>
    <row r="181" customFormat="false" ht="27.75" hidden="false" customHeight="true" outlineLevel="0" collapsed="false">
      <c r="A181" s="32"/>
      <c r="B181" s="32"/>
      <c r="C181" s="32"/>
      <c r="D181" s="33"/>
      <c r="E181" s="34"/>
      <c r="F181" s="34"/>
      <c r="G181" s="61"/>
      <c r="H181" s="32"/>
      <c r="I181" s="62"/>
      <c r="J181" s="31"/>
    </row>
    <row r="182" customFormat="false" ht="27.75" hidden="false" customHeight="true" outlineLevel="0" collapsed="false">
      <c r="A182" s="32"/>
      <c r="B182" s="32"/>
      <c r="C182" s="32"/>
      <c r="D182" s="33"/>
      <c r="E182" s="34"/>
      <c r="F182" s="34"/>
      <c r="G182" s="61"/>
      <c r="H182" s="32"/>
      <c r="I182" s="62"/>
      <c r="J182" s="31"/>
    </row>
    <row r="183" customFormat="false" ht="27.75" hidden="false" customHeight="true" outlineLevel="0" collapsed="false">
      <c r="A183" s="32"/>
      <c r="B183" s="32"/>
      <c r="C183" s="32"/>
      <c r="D183" s="33"/>
      <c r="E183" s="34"/>
      <c r="F183" s="34"/>
      <c r="G183" s="61"/>
      <c r="H183" s="32"/>
      <c r="I183" s="62"/>
      <c r="J183" s="31"/>
    </row>
    <row r="184" customFormat="false" ht="27.75" hidden="false" customHeight="true" outlineLevel="0" collapsed="false">
      <c r="A184" s="32"/>
      <c r="B184" s="32"/>
      <c r="C184" s="32"/>
      <c r="D184" s="33"/>
      <c r="E184" s="34"/>
      <c r="F184" s="34"/>
      <c r="G184" s="61"/>
      <c r="H184" s="32"/>
      <c r="I184" s="62"/>
      <c r="J184" s="31"/>
    </row>
    <row r="185" customFormat="false" ht="27.75" hidden="false" customHeight="true" outlineLevel="0" collapsed="false">
      <c r="A185" s="32"/>
      <c r="B185" s="32"/>
      <c r="C185" s="32"/>
      <c r="D185" s="33"/>
      <c r="E185" s="34"/>
      <c r="F185" s="34"/>
      <c r="G185" s="61"/>
      <c r="H185" s="32"/>
      <c r="I185" s="62"/>
      <c r="J185" s="31"/>
    </row>
    <row r="186" customFormat="false" ht="27.75" hidden="false" customHeight="true" outlineLevel="0" collapsed="false">
      <c r="A186" s="32"/>
      <c r="B186" s="32"/>
      <c r="C186" s="32"/>
      <c r="D186" s="33"/>
      <c r="E186" s="34"/>
      <c r="F186" s="34"/>
      <c r="G186" s="61"/>
      <c r="H186" s="32"/>
      <c r="I186" s="62"/>
      <c r="J186" s="31"/>
    </row>
    <row r="187" customFormat="false" ht="27.75" hidden="false" customHeight="true" outlineLevel="0" collapsed="false">
      <c r="A187" s="32"/>
      <c r="B187" s="32"/>
      <c r="C187" s="32"/>
      <c r="D187" s="33"/>
      <c r="E187" s="34"/>
      <c r="F187" s="34"/>
      <c r="G187" s="61"/>
      <c r="H187" s="32"/>
      <c r="I187" s="62"/>
      <c r="J187" s="31"/>
    </row>
    <row r="188" customFormat="false" ht="27.75" hidden="false" customHeight="true" outlineLevel="0" collapsed="false">
      <c r="A188" s="32"/>
      <c r="B188" s="32"/>
      <c r="C188" s="32"/>
      <c r="D188" s="33"/>
      <c r="E188" s="34"/>
      <c r="F188" s="34"/>
      <c r="G188" s="61"/>
      <c r="H188" s="32"/>
      <c r="I188" s="62"/>
      <c r="J188" s="31"/>
    </row>
    <row r="189" customFormat="false" ht="27.75" hidden="false" customHeight="true" outlineLevel="0" collapsed="false">
      <c r="A189" s="32"/>
      <c r="B189" s="32"/>
      <c r="C189" s="32"/>
      <c r="D189" s="33"/>
      <c r="E189" s="34"/>
      <c r="F189" s="34"/>
      <c r="G189" s="61"/>
      <c r="H189" s="32"/>
      <c r="I189" s="62"/>
      <c r="J189" s="31"/>
    </row>
    <row r="190" customFormat="false" ht="27.75" hidden="false" customHeight="true" outlineLevel="0" collapsed="false">
      <c r="A190" s="32"/>
      <c r="B190" s="32"/>
      <c r="C190" s="32"/>
      <c r="D190" s="33"/>
      <c r="E190" s="34"/>
      <c r="F190" s="34"/>
      <c r="G190" s="61"/>
      <c r="H190" s="32"/>
      <c r="I190" s="62"/>
      <c r="J190" s="31"/>
    </row>
    <row r="191" customFormat="false" ht="27.75" hidden="false" customHeight="true" outlineLevel="0" collapsed="false">
      <c r="A191" s="32"/>
      <c r="B191" s="32"/>
      <c r="C191" s="32"/>
      <c r="D191" s="33"/>
      <c r="E191" s="34"/>
      <c r="F191" s="34"/>
      <c r="G191" s="61"/>
      <c r="H191" s="32"/>
      <c r="I191" s="62"/>
      <c r="J191" s="31"/>
    </row>
    <row r="192" customFormat="false" ht="27.75" hidden="false" customHeight="true" outlineLevel="0" collapsed="false">
      <c r="A192" s="32"/>
      <c r="B192" s="32"/>
      <c r="C192" s="32"/>
      <c r="D192" s="33"/>
      <c r="E192" s="34"/>
      <c r="F192" s="34"/>
      <c r="G192" s="61"/>
      <c r="H192" s="32"/>
      <c r="I192" s="62"/>
      <c r="J192" s="31"/>
    </row>
    <row r="193" customFormat="false" ht="27.75" hidden="false" customHeight="true" outlineLevel="0" collapsed="false">
      <c r="A193" s="32"/>
      <c r="B193" s="32"/>
      <c r="C193" s="32"/>
      <c r="D193" s="33"/>
      <c r="E193" s="34"/>
      <c r="F193" s="34"/>
      <c r="G193" s="61"/>
      <c r="H193" s="32"/>
      <c r="I193" s="62"/>
      <c r="J193" s="31"/>
    </row>
    <row r="194" customFormat="false" ht="27.75" hidden="false" customHeight="true" outlineLevel="0" collapsed="false">
      <c r="A194" s="32"/>
      <c r="B194" s="32"/>
      <c r="C194" s="32"/>
      <c r="D194" s="33"/>
      <c r="E194" s="34"/>
      <c r="F194" s="34"/>
      <c r="G194" s="61"/>
      <c r="H194" s="32"/>
      <c r="I194" s="62"/>
      <c r="J194" s="31"/>
    </row>
    <row r="195" customFormat="false" ht="27.75" hidden="false" customHeight="true" outlineLevel="0" collapsed="false">
      <c r="A195" s="32"/>
      <c r="B195" s="32"/>
      <c r="C195" s="32"/>
      <c r="D195" s="33"/>
      <c r="E195" s="34"/>
      <c r="F195" s="34"/>
      <c r="G195" s="61"/>
      <c r="H195" s="32"/>
      <c r="I195" s="62"/>
      <c r="J195" s="31"/>
    </row>
    <row r="196" customFormat="false" ht="27.75" hidden="false" customHeight="true" outlineLevel="0" collapsed="false">
      <c r="A196" s="45"/>
      <c r="B196" s="45"/>
      <c r="C196" s="45"/>
      <c r="D196" s="46"/>
      <c r="E196" s="47"/>
      <c r="F196" s="47"/>
      <c r="G196" s="63"/>
      <c r="H196" s="45"/>
      <c r="I196" s="64"/>
      <c r="J196" s="52"/>
    </row>
    <row r="197" customFormat="false" ht="27.75" hidden="false" customHeight="true" outlineLevel="0" collapsed="false">
      <c r="A197" s="45"/>
      <c r="B197" s="45"/>
      <c r="C197" s="45"/>
      <c r="D197" s="46"/>
      <c r="E197" s="47"/>
      <c r="F197" s="47"/>
      <c r="G197" s="63"/>
      <c r="H197" s="45"/>
      <c r="I197" s="64"/>
      <c r="J197" s="52"/>
    </row>
    <row r="198" customFormat="false" ht="27.75" hidden="false" customHeight="true" outlineLevel="0" collapsed="false">
      <c r="A198" s="45"/>
      <c r="B198" s="45"/>
      <c r="C198" s="45"/>
      <c r="D198" s="46"/>
      <c r="E198" s="47"/>
      <c r="F198" s="47"/>
      <c r="G198" s="63"/>
      <c r="H198" s="45"/>
      <c r="I198" s="64"/>
      <c r="J198" s="52"/>
    </row>
    <row r="199" customFormat="false" ht="27.75" hidden="false" customHeight="true" outlineLevel="0" collapsed="false">
      <c r="A199" s="45"/>
      <c r="B199" s="45"/>
      <c r="C199" s="45"/>
      <c r="D199" s="46"/>
      <c r="E199" s="47"/>
      <c r="F199" s="47"/>
      <c r="G199" s="63"/>
      <c r="H199" s="45"/>
      <c r="I199" s="64"/>
      <c r="J199" s="52"/>
    </row>
    <row r="200" customFormat="false" ht="27.75" hidden="false" customHeight="true" outlineLevel="0" collapsed="false"/>
  </sheetData>
  <mergeCells count="2">
    <mergeCell ref="A1:J1"/>
    <mergeCell ref="A2:J2"/>
  </mergeCells>
  <conditionalFormatting sqref="A5:F200">
    <cfRule type="expression" priority="2" aboveAverage="0" equalAverage="0" bottom="0" percent="0" rank="0" text="" dxfId="0">
      <formula>$G5="✅ Paid"</formula>
    </cfRule>
    <cfRule type="expression" priority="3" aboveAverage="0" equalAverage="0" bottom="0" percent="0" rank="0" text="" dxfId="5">
      <formula>$G5="⏳ Pending"</formula>
    </cfRule>
    <cfRule type="expression" priority="4" aboveAverage="0" equalAverage="0" bottom="0" percent="0" rank="0" text="" dxfId="6">
      <formula>$G5="⚠ Check"</formula>
    </cfRule>
    <cfRule type="expression" priority="5" aboveAverage="0" equalAverage="0" bottom="0" percent="0" rank="0" text="" dxfId="7">
      <formula>$G5="❓ Clarify"</formula>
    </cfRule>
  </conditionalFormatting>
  <conditionalFormatting sqref="H5:I200">
    <cfRule type="expression" priority="6" aboveAverage="0" equalAverage="0" bottom="0" percent="0" rank="0" text="" dxfId="0">
      <formula>$G5="✅ Paid"</formula>
    </cfRule>
    <cfRule type="expression" priority="7" aboveAverage="0" equalAverage="0" bottom="0" percent="0" rank="0" text="" dxfId="5">
      <formula>$G5="⏳ Pending"</formula>
    </cfRule>
    <cfRule type="expression" priority="8" aboveAverage="0" equalAverage="0" bottom="0" percent="0" rank="0" text="" dxfId="6">
      <formula>$G5="⚠ Check"</formula>
    </cfRule>
    <cfRule type="expression" priority="9" aboveAverage="0" equalAverage="0" bottom="0" percent="0" rank="0" text="" dxfId="7">
      <formula>$G5="❓ Clarify"</formula>
    </cfRule>
  </conditionalFormatting>
  <conditionalFormatting sqref="G5:G200">
    <cfRule type="expression" priority="10" aboveAverage="0" equalAverage="0" bottom="0" percent="0" rank="0" text="" dxfId="8">
      <formula>$G5="✅ Paid"</formula>
    </cfRule>
    <cfRule type="expression" priority="11" aboveAverage="0" equalAverage="0" bottom="0" percent="0" rank="0" text="" dxfId="9">
      <formula>$G5="⏳ Pending"</formula>
    </cfRule>
    <cfRule type="expression" priority="12" aboveAverage="0" equalAverage="0" bottom="0" percent="0" rank="0" text="" dxfId="10">
      <formula>$G5="⚠ Check"</formula>
    </cfRule>
    <cfRule type="expression" priority="13" aboveAverage="0" equalAverage="0" bottom="0" percent="0" rank="0" text="" dxfId="11">
      <formula>$G5="❓ Clarify"</formula>
    </cfRule>
  </conditionalFormatting>
  <conditionalFormatting sqref="H5:H200">
    <cfRule type="expression" priority="14" aboveAverage="0" equalAverage="0" bottom="0" percent="0" rank="0" text="" dxfId="12">
      <formula>AND($G5="✅ Paid",$H5="")</formula>
    </cfRule>
  </conditionalFormatting>
  <dataValidations count="2">
    <dataValidation allowBlank="false" errorStyle="stop" operator="between" showDropDown="false" showErrorMessage="false" showInputMessage="false" sqref="G5:G200" type="list">
      <formula1>"⏳ Pending,✅ Paid,⚠ Partial/Check,❓ Clarify,❌ Cancelled"</formula1>
      <formula2>0</formula2>
    </dataValidation>
    <dataValidation allowBlank="false" errorStyle="stop" operator="between" showDropDown="false" showErrorMessage="false" showInputMessage="false" sqref="D5:D2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2"/>
  </cols>
  <sheetData>
    <row r="1" customFormat="false" ht="30" hidden="false" customHeight="true" outlineLevel="0" collapsed="false">
      <c r="A1" s="2" t="s">
        <v>300</v>
      </c>
      <c r="B1" s="2"/>
    </row>
    <row r="2" customFormat="false" ht="15" hidden="false" customHeight="true" outlineLevel="0" collapsed="false">
      <c r="A2" s="3" t="s">
        <v>301</v>
      </c>
      <c r="B2" s="3"/>
    </row>
    <row r="4" customFormat="false" ht="18" hidden="false" customHeight="true" outlineLevel="0" collapsed="false">
      <c r="A4" s="65" t="s">
        <v>302</v>
      </c>
      <c r="B4" s="65"/>
    </row>
    <row r="5" customFormat="false" ht="33.75" hidden="false" customHeight="true" outlineLevel="0" collapsed="false">
      <c r="A5" s="66" t="s">
        <v>303</v>
      </c>
      <c r="B5" s="66"/>
    </row>
    <row r="6" customFormat="false" ht="7.5" hidden="false" customHeight="true" outlineLevel="0" collapsed="false">
      <c r="A6" s="67"/>
      <c r="B6" s="67"/>
    </row>
    <row r="7" customFormat="false" ht="18" hidden="false" customHeight="true" outlineLevel="0" collapsed="false">
      <c r="A7" s="65" t="s">
        <v>304</v>
      </c>
      <c r="B7" s="65"/>
    </row>
    <row r="8" customFormat="false" ht="19.5" hidden="false" customHeight="true" outlineLevel="0" collapsed="false">
      <c r="A8" s="68" t="s">
        <v>305</v>
      </c>
      <c r="B8" s="69" t="s">
        <v>306</v>
      </c>
    </row>
    <row r="9" customFormat="false" ht="19.5" hidden="false" customHeight="true" outlineLevel="0" collapsed="false">
      <c r="A9" s="68" t="s">
        <v>307</v>
      </c>
      <c r="B9" s="69" t="s">
        <v>308</v>
      </c>
    </row>
    <row r="10" customFormat="false" ht="19.5" hidden="false" customHeight="true" outlineLevel="0" collapsed="false">
      <c r="A10" s="68" t="s">
        <v>309</v>
      </c>
      <c r="B10" s="69" t="s">
        <v>310</v>
      </c>
    </row>
    <row r="11" customFormat="false" ht="19.5" hidden="false" customHeight="true" outlineLevel="0" collapsed="false">
      <c r="A11" s="68" t="s">
        <v>311</v>
      </c>
      <c r="B11" s="69" t="s">
        <v>312</v>
      </c>
    </row>
    <row r="12" customFormat="false" ht="7.5" hidden="false" customHeight="true" outlineLevel="0" collapsed="false">
      <c r="A12" s="67"/>
      <c r="B12" s="67"/>
    </row>
    <row r="13" customFormat="false" ht="18" hidden="false" customHeight="true" outlineLevel="0" collapsed="false">
      <c r="A13" s="65" t="s">
        <v>313</v>
      </c>
      <c r="B13" s="65"/>
    </row>
    <row r="14" customFormat="false" ht="19.5" hidden="false" customHeight="true" outlineLevel="0" collapsed="false">
      <c r="A14" s="70" t="s">
        <v>314</v>
      </c>
      <c r="B14" s="71" t="s">
        <v>315</v>
      </c>
    </row>
    <row r="15" customFormat="false" ht="19.5" hidden="false" customHeight="true" outlineLevel="0" collapsed="false">
      <c r="A15" s="72" t="s">
        <v>316</v>
      </c>
      <c r="B15" s="73" t="s">
        <v>317</v>
      </c>
    </row>
    <row r="16" customFormat="false" ht="19.5" hidden="false" customHeight="true" outlineLevel="0" collapsed="false">
      <c r="A16" s="74" t="s">
        <v>318</v>
      </c>
      <c r="B16" s="75" t="s">
        <v>319</v>
      </c>
    </row>
    <row r="17" customFormat="false" ht="19.5" hidden="false" customHeight="true" outlineLevel="0" collapsed="false">
      <c r="A17" s="76" t="s">
        <v>320</v>
      </c>
      <c r="B17" s="77" t="s">
        <v>321</v>
      </c>
    </row>
    <row r="18" customFormat="false" ht="19.5" hidden="false" customHeight="true" outlineLevel="0" collapsed="false">
      <c r="A18" s="78" t="s">
        <v>322</v>
      </c>
      <c r="B18" s="79" t="s">
        <v>323</v>
      </c>
    </row>
    <row r="19" customFormat="false" ht="7.5" hidden="false" customHeight="true" outlineLevel="0" collapsed="false">
      <c r="A19" s="67"/>
      <c r="B19" s="67"/>
    </row>
    <row r="20" customFormat="false" ht="18" hidden="false" customHeight="true" outlineLevel="0" collapsed="false">
      <c r="A20" s="65" t="s">
        <v>324</v>
      </c>
      <c r="B20" s="65"/>
    </row>
    <row r="21" customFormat="false" ht="19.5" hidden="false" customHeight="true" outlineLevel="0" collapsed="false">
      <c r="A21" s="38" t="s">
        <v>325</v>
      </c>
      <c r="B21" s="80" t="s">
        <v>326</v>
      </c>
    </row>
    <row r="22" customFormat="false" ht="19.5" hidden="false" customHeight="true" outlineLevel="0" collapsed="false">
      <c r="A22" s="38" t="s">
        <v>327</v>
      </c>
      <c r="B22" s="80" t="s">
        <v>328</v>
      </c>
    </row>
    <row r="23" customFormat="false" ht="19.5" hidden="false" customHeight="true" outlineLevel="0" collapsed="false">
      <c r="A23" s="38" t="s">
        <v>329</v>
      </c>
      <c r="B23" s="80" t="s">
        <v>330</v>
      </c>
    </row>
    <row r="24" customFormat="false" ht="19.5" hidden="false" customHeight="true" outlineLevel="0" collapsed="false">
      <c r="A24" s="38" t="s">
        <v>331</v>
      </c>
      <c r="B24" s="80" t="s">
        <v>332</v>
      </c>
    </row>
    <row r="25" customFormat="false" ht="19.5" hidden="false" customHeight="true" outlineLevel="0" collapsed="false">
      <c r="A25" s="38" t="s">
        <v>333</v>
      </c>
      <c r="B25" s="80" t="s">
        <v>334</v>
      </c>
    </row>
    <row r="26" customFormat="false" ht="7.5" hidden="false" customHeight="true" outlineLevel="0" collapsed="false">
      <c r="A26" s="67"/>
      <c r="B26" s="67"/>
    </row>
    <row r="27" customFormat="false" ht="18" hidden="false" customHeight="true" outlineLevel="0" collapsed="false">
      <c r="A27" s="65" t="s">
        <v>335</v>
      </c>
      <c r="B27" s="65"/>
    </row>
    <row r="28" customFormat="false" ht="19.5" hidden="false" customHeight="true" outlineLevel="0" collapsed="false">
      <c r="A28" s="38" t="s">
        <v>325</v>
      </c>
      <c r="B28" s="80" t="s">
        <v>336</v>
      </c>
    </row>
    <row r="29" customFormat="false" ht="19.5" hidden="false" customHeight="true" outlineLevel="0" collapsed="false">
      <c r="A29" s="38" t="s">
        <v>327</v>
      </c>
      <c r="B29" s="80" t="s">
        <v>337</v>
      </c>
    </row>
    <row r="30" customFormat="false" ht="27.75" hidden="false" customHeight="true" outlineLevel="0" collapsed="false">
      <c r="A30" s="38" t="s">
        <v>329</v>
      </c>
      <c r="B30" s="80" t="s">
        <v>338</v>
      </c>
    </row>
    <row r="31" customFormat="false" ht="27.75" hidden="false" customHeight="true" outlineLevel="0" collapsed="false">
      <c r="A31" s="38" t="s">
        <v>331</v>
      </c>
      <c r="B31" s="80" t="s">
        <v>339</v>
      </c>
    </row>
    <row r="32" customFormat="false" ht="19.5" hidden="false" customHeight="true" outlineLevel="0" collapsed="false">
      <c r="A32" s="38" t="s">
        <v>333</v>
      </c>
      <c r="B32" s="80" t="s">
        <v>340</v>
      </c>
    </row>
    <row r="33" customFormat="false" ht="7.5" hidden="false" customHeight="true" outlineLevel="0" collapsed="false">
      <c r="A33" s="67"/>
      <c r="B33" s="67"/>
    </row>
    <row r="34" customFormat="false" ht="18" hidden="false" customHeight="true" outlineLevel="0" collapsed="false">
      <c r="A34" s="65" t="s">
        <v>341</v>
      </c>
      <c r="B34" s="65"/>
    </row>
    <row r="35" customFormat="false" ht="19.5" hidden="false" customHeight="true" outlineLevel="0" collapsed="false">
      <c r="A35" s="81" t="s">
        <v>342</v>
      </c>
      <c r="B35" s="82" t="s">
        <v>343</v>
      </c>
    </row>
    <row r="36" customFormat="false" ht="19.5" hidden="false" customHeight="true" outlineLevel="0" collapsed="false">
      <c r="A36" s="81" t="s">
        <v>342</v>
      </c>
      <c r="B36" s="82" t="s">
        <v>344</v>
      </c>
    </row>
    <row r="37" customFormat="false" ht="27.75" hidden="false" customHeight="true" outlineLevel="0" collapsed="false">
      <c r="A37" s="81" t="s">
        <v>342</v>
      </c>
      <c r="B37" s="82" t="s">
        <v>345</v>
      </c>
    </row>
    <row r="38" customFormat="false" ht="7.5" hidden="false" customHeight="true" outlineLevel="0" collapsed="false">
      <c r="A38" s="67"/>
      <c r="B38" s="67"/>
    </row>
    <row r="39" customFormat="false" ht="18" hidden="false" customHeight="true" outlineLevel="0" collapsed="false">
      <c r="A39" s="65" t="s">
        <v>346</v>
      </c>
      <c r="B39" s="65"/>
    </row>
    <row r="40" customFormat="false" ht="19.5" hidden="false" customHeight="true" outlineLevel="0" collapsed="false">
      <c r="A40" s="38" t="s">
        <v>325</v>
      </c>
      <c r="B40" s="80" t="s">
        <v>347</v>
      </c>
    </row>
    <row r="41" customFormat="false" ht="19.5" hidden="false" customHeight="true" outlineLevel="0" collapsed="false">
      <c r="A41" s="38" t="s">
        <v>327</v>
      </c>
      <c r="B41" s="80" t="s">
        <v>348</v>
      </c>
    </row>
    <row r="42" customFormat="false" ht="27.75" hidden="false" customHeight="true" outlineLevel="0" collapsed="false">
      <c r="A42" s="38" t="s">
        <v>329</v>
      </c>
      <c r="B42" s="80" t="s">
        <v>349</v>
      </c>
    </row>
    <row r="43" customFormat="false" ht="19.5" hidden="false" customHeight="true" outlineLevel="0" collapsed="false">
      <c r="A43" s="38" t="s">
        <v>331</v>
      </c>
      <c r="B43" s="80" t="s">
        <v>350</v>
      </c>
    </row>
    <row r="44" customFormat="false" ht="7.5" hidden="false" customHeight="true" outlineLevel="0" collapsed="false">
      <c r="A44" s="67"/>
      <c r="B44" s="67"/>
    </row>
    <row r="45" customFormat="false" ht="18" hidden="false" customHeight="true" outlineLevel="0" collapsed="false">
      <c r="A45" s="65" t="s">
        <v>351</v>
      </c>
      <c r="B45" s="65"/>
    </row>
    <row r="46" customFormat="false" ht="19.5" hidden="false" customHeight="true" outlineLevel="0" collapsed="false">
      <c r="A46" s="83" t="s">
        <v>352</v>
      </c>
      <c r="B46" s="79" t="s">
        <v>353</v>
      </c>
    </row>
    <row r="47" customFormat="false" ht="19.5" hidden="false" customHeight="true" outlineLevel="0" collapsed="false">
      <c r="A47" s="84" t="s">
        <v>354</v>
      </c>
      <c r="B47" s="73" t="s">
        <v>355</v>
      </c>
    </row>
    <row r="48" customFormat="false" ht="19.5" hidden="false" customHeight="true" outlineLevel="0" collapsed="false">
      <c r="A48" s="84" t="s">
        <v>356</v>
      </c>
      <c r="B48" s="73" t="s">
        <v>357</v>
      </c>
    </row>
    <row r="49" customFormat="false" ht="19.5" hidden="false" customHeight="true" outlineLevel="0" collapsed="false">
      <c r="A49" s="84" t="s">
        <v>358</v>
      </c>
      <c r="B49" s="73" t="s">
        <v>359</v>
      </c>
    </row>
    <row r="50" customFormat="false" ht="15" hidden="false" customHeight="true" outlineLevel="0" collapsed="false">
      <c r="A50" s="1" t="s">
        <v>360</v>
      </c>
      <c r="B50" s="1" t="s">
        <v>361</v>
      </c>
    </row>
  </sheetData>
  <mergeCells count="11">
    <mergeCell ref="A1:B1"/>
    <mergeCell ref="A2:B2"/>
    <mergeCell ref="A4:B4"/>
    <mergeCell ref="A5:B5"/>
    <mergeCell ref="A7:B7"/>
    <mergeCell ref="A13:B13"/>
    <mergeCell ref="A20:B20"/>
    <mergeCell ref="A27:B27"/>
    <mergeCell ref="A34:B34"/>
    <mergeCell ref="A39:B39"/>
    <mergeCell ref="A45:B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6"/>
    <col collapsed="false" customWidth="true" hidden="false" outlineLevel="0" max="5" min="5" style="1" width="2"/>
  </cols>
  <sheetData>
    <row r="1" customFormat="false" ht="30" hidden="false" customHeight="true" outlineLevel="0" collapsed="false">
      <c r="A1" s="2" t="s">
        <v>362</v>
      </c>
      <c r="B1" s="2"/>
      <c r="C1" s="2"/>
      <c r="D1" s="2"/>
      <c r="E1" s="2"/>
    </row>
    <row r="2" customFormat="false" ht="15" hidden="false" customHeight="true" outlineLevel="0" collapsed="false">
      <c r="A2" s="3" t="s">
        <v>363</v>
      </c>
      <c r="B2" s="3"/>
      <c r="C2" s="3"/>
      <c r="D2" s="3"/>
      <c r="E2" s="3"/>
    </row>
    <row r="3" customFormat="false" ht="7.5" hidden="false" customHeight="true" outlineLevel="0" collapsed="false"/>
    <row r="4" customFormat="false" ht="21.75" hidden="false" customHeight="true" outlineLevel="0" collapsed="false">
      <c r="A4" s="85" t="s">
        <v>364</v>
      </c>
      <c r="B4" s="86" t="s">
        <v>365</v>
      </c>
      <c r="C4" s="87" t="n">
        <v>0</v>
      </c>
      <c r="D4" s="88" t="s">
        <v>366</v>
      </c>
      <c r="E4" s="89"/>
    </row>
    <row r="5" customFormat="false" ht="7.5" hidden="false" customHeight="true" outlineLevel="0" collapsed="false"/>
    <row r="6" customFormat="false" ht="19.5" hidden="false" customHeight="true" outlineLevel="0" collapsed="false">
      <c r="A6" s="85" t="s">
        <v>367</v>
      </c>
      <c r="B6" s="85" t="s">
        <v>368</v>
      </c>
      <c r="C6" s="85" t="s">
        <v>369</v>
      </c>
      <c r="D6" s="85" t="s">
        <v>370</v>
      </c>
      <c r="E6" s="90"/>
    </row>
    <row r="7" customFormat="false" ht="18" hidden="false" customHeight="true" outlineLevel="0" collapsed="false">
      <c r="A7" s="91" t="s">
        <v>35</v>
      </c>
      <c r="B7" s="92" t="n">
        <v>3.6725</v>
      </c>
      <c r="C7" s="93" t="s">
        <v>43</v>
      </c>
      <c r="D7" s="93" t="s">
        <v>371</v>
      </c>
      <c r="E7" s="89"/>
    </row>
    <row r="8" customFormat="false" ht="18" hidden="false" customHeight="true" outlineLevel="0" collapsed="false">
      <c r="A8" s="91" t="s">
        <v>41</v>
      </c>
      <c r="B8" s="92" t="n">
        <v>7.012512</v>
      </c>
      <c r="C8" s="93" t="s">
        <v>189</v>
      </c>
      <c r="D8" s="93" t="s">
        <v>372</v>
      </c>
      <c r="E8" s="89"/>
    </row>
    <row r="9" customFormat="false" ht="18" hidden="false" customHeight="true" outlineLevel="0" collapsed="false">
      <c r="A9" s="94" t="s">
        <v>120</v>
      </c>
      <c r="B9" s="95" t="n">
        <v>1</v>
      </c>
      <c r="C9" s="93" t="s">
        <v>373</v>
      </c>
      <c r="D9" s="93" t="s">
        <v>373</v>
      </c>
      <c r="E9" s="89"/>
    </row>
    <row r="10" customFormat="false" ht="18" hidden="false" customHeight="true" outlineLevel="0" collapsed="false">
      <c r="A10" s="91" t="s">
        <v>133</v>
      </c>
      <c r="B10" s="92" t="n">
        <v>0.8434</v>
      </c>
      <c r="C10" s="93" t="s">
        <v>128</v>
      </c>
      <c r="D10" s="93" t="s">
        <v>374</v>
      </c>
      <c r="E10" s="89"/>
    </row>
    <row r="11" customFormat="false" ht="18" hidden="false" customHeight="true" outlineLevel="0" collapsed="false">
      <c r="A11" s="91" t="s">
        <v>96</v>
      </c>
      <c r="B11" s="92" t="n">
        <v>1.2535</v>
      </c>
      <c r="C11" s="93" t="s">
        <v>87</v>
      </c>
      <c r="D11" s="93" t="s">
        <v>375</v>
      </c>
      <c r="E11" s="89"/>
    </row>
    <row r="12" customFormat="false" ht="18" hidden="false" customHeight="true" outlineLevel="0" collapsed="false">
      <c r="A12" s="91" t="s">
        <v>46</v>
      </c>
      <c r="B12" s="92" t="n">
        <v>78.8527</v>
      </c>
      <c r="C12" s="93" t="s">
        <v>65</v>
      </c>
      <c r="D12" s="93" t="s">
        <v>376</v>
      </c>
      <c r="E12" s="89"/>
    </row>
    <row r="13" customFormat="false" ht="18" hidden="false" customHeight="true" outlineLevel="0" collapsed="false">
      <c r="A13" s="91" t="s">
        <v>137</v>
      </c>
      <c r="B13" s="92" t="n">
        <v>90.63</v>
      </c>
      <c r="C13" s="93" t="s">
        <v>128</v>
      </c>
      <c r="D13" s="93" t="s">
        <v>377</v>
      </c>
      <c r="E13" s="89"/>
    </row>
    <row r="14" customFormat="false" ht="18" hidden="false" customHeight="true" outlineLevel="0" collapsed="false">
      <c r="A14" s="91" t="s">
        <v>378</v>
      </c>
      <c r="B14" s="92" t="n">
        <v>7.78</v>
      </c>
      <c r="C14" s="93" t="s">
        <v>379</v>
      </c>
      <c r="D14" s="93" t="s">
        <v>380</v>
      </c>
      <c r="E14" s="89"/>
    </row>
    <row r="15" customFormat="false" ht="18" hidden="false" customHeight="true" outlineLevel="0" collapsed="false">
      <c r="A15" s="91" t="s">
        <v>381</v>
      </c>
      <c r="B15" s="92" t="n">
        <v>3.75</v>
      </c>
      <c r="C15" s="93" t="s">
        <v>373</v>
      </c>
      <c r="D15" s="93" t="s">
        <v>382</v>
      </c>
      <c r="E15" s="89"/>
    </row>
    <row r="16" customFormat="false" ht="18" hidden="false" customHeight="true" outlineLevel="0" collapsed="false">
      <c r="A16" s="91" t="s">
        <v>383</v>
      </c>
      <c r="B16" s="92" t="n">
        <v>0.788</v>
      </c>
      <c r="C16" s="93" t="s">
        <v>379</v>
      </c>
      <c r="D16" s="93" t="s">
        <v>380</v>
      </c>
      <c r="E16" s="89"/>
    </row>
    <row r="17" customFormat="false" ht="7.5" hidden="false" customHeight="true" outlineLevel="0" collapsed="false">
      <c r="A17" s="96" t="s">
        <v>298</v>
      </c>
      <c r="B17" s="97" t="n">
        <v>0.37286</v>
      </c>
    </row>
    <row r="18" customFormat="false" ht="19.5" hidden="false" customHeight="true" outlineLevel="0" collapsed="false">
      <c r="A18" s="98" t="s">
        <v>384</v>
      </c>
      <c r="B18" s="99" t="n">
        <v>1</v>
      </c>
      <c r="C18" s="98" t="s">
        <v>385</v>
      </c>
    </row>
    <row r="19" customFormat="false" ht="18" hidden="false" customHeight="true" outlineLevel="0" collapsed="false">
      <c r="A19" s="85" t="s">
        <v>386</v>
      </c>
      <c r="B19" s="85" t="s">
        <v>387</v>
      </c>
      <c r="C19" s="85" t="s">
        <v>30</v>
      </c>
      <c r="D19" s="90"/>
      <c r="E19" s="90"/>
    </row>
    <row r="20" customFormat="false" ht="18" hidden="false" customHeight="true" outlineLevel="0" collapsed="false">
      <c r="A20" s="100" t="s">
        <v>32</v>
      </c>
      <c r="B20" s="101" t="n">
        <v>0</v>
      </c>
      <c r="C20" s="102" t="s">
        <v>388</v>
      </c>
      <c r="D20" s="89"/>
      <c r="E20" s="89"/>
    </row>
    <row r="21" customFormat="false" ht="18" hidden="false" customHeight="true" outlineLevel="0" collapsed="false">
      <c r="A21" s="100" t="s">
        <v>38</v>
      </c>
      <c r="B21" s="101" t="n">
        <v>0.005</v>
      </c>
      <c r="C21" s="102" t="s">
        <v>389</v>
      </c>
      <c r="D21" s="89"/>
      <c r="E21" s="89"/>
    </row>
    <row r="22" customFormat="false" ht="18" hidden="false" customHeight="true" outlineLevel="0" collapsed="false">
      <c r="A22" s="100" t="s">
        <v>59</v>
      </c>
      <c r="B22" s="101" t="n">
        <v>0.005</v>
      </c>
      <c r="C22" s="102" t="s">
        <v>390</v>
      </c>
      <c r="D22" s="89"/>
      <c r="E22" s="89"/>
    </row>
    <row r="23" customFormat="false" ht="18" hidden="false" customHeight="true" outlineLevel="0" collapsed="false">
      <c r="A23" s="100" t="s">
        <v>105</v>
      </c>
      <c r="B23" s="101" t="n">
        <v>0</v>
      </c>
      <c r="C23" s="102" t="s">
        <v>391</v>
      </c>
      <c r="D23" s="89"/>
      <c r="E23" s="89"/>
    </row>
    <row r="24" customFormat="false" ht="15" hidden="false" customHeight="true" outlineLevel="0" collapsed="false">
      <c r="A24" s="100" t="s">
        <v>392</v>
      </c>
      <c r="B24" s="101" t="n">
        <v>0</v>
      </c>
      <c r="C24" s="102" t="s">
        <v>393</v>
      </c>
      <c r="D24" s="89"/>
      <c r="E24" s="89"/>
    </row>
    <row r="25" customFormat="false" ht="27.75" hidden="false" customHeight="true" outlineLevel="0" collapsed="false">
      <c r="A25" s="103"/>
      <c r="B25" s="103"/>
      <c r="C25" s="103"/>
      <c r="D25" s="103"/>
      <c r="E25" s="103"/>
    </row>
    <row r="26" customFormat="false" ht="81.75" hidden="false" customHeight="true" outlineLevel="0" collapsed="false">
      <c r="A26" s="104" t="s">
        <v>394</v>
      </c>
      <c r="B26" s="20"/>
      <c r="C26" s="20"/>
      <c r="D26" s="20"/>
      <c r="E26" s="20"/>
    </row>
  </sheetData>
  <mergeCells count="3">
    <mergeCell ref="A1:E1"/>
    <mergeCell ref="A2:E2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2026-02-25T07:59:15Z</dcterms:created>
  <dc:creator>openpyxl</dc:creator>
  <dc:description/>
  <dc:language>en-US</dc:language>
  <cp:lastModifiedBy>Aleksandr Minkin</cp:lastModifiedBy>
  <dcterms:modified xsi:type="dcterms:W3CDTF">2026-02-26T11:06:08Z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